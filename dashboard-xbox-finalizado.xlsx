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uno\Documents\"/>
    </mc:Choice>
  </mc:AlternateContent>
  <bookViews>
    <workbookView xWindow="0" yWindow="0" windowWidth="17970" windowHeight="6405" tabRatio="477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62913"/>
  <pivotCaches>
    <pivotCache cacheId="1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3" l="1"/>
  <c r="F25" i="3"/>
</calcChain>
</file>

<file path=xl/sharedStrings.xml><?xml version="1.0" encoding="utf-8"?>
<sst xmlns="http://schemas.openxmlformats.org/spreadsheetml/2006/main" count="2026" uniqueCount="324">
  <si>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</si>
  <si>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</si>
  <si>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</si>
  <si>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</si>
  <si>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</si>
  <si>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</si>
  <si>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</si>
  <si>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</si>
  <si>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</si>
  <si>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</si>
  <si>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</si>
  <si>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</si>
  <si>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</si>
  <si>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</si>
  <si>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</si>
  <si>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</si>
  <si>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</si>
  <si>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</si>
  <si>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</si>
  <si>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</si>
  <si>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</si>
  <si>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</si>
  <si>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</si>
  <si>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</si>
  <si>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</si>
  <si>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</si>
  <si>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</si>
  <si>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</si>
  <si>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</si>
  <si>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</si>
  <si>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</si>
  <si>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</si>
  <si>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</si>
  <si>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</si>
  <si>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</si>
  <si>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</si>
  <si>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</si>
  <si>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</si>
  <si>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</si>
  <si>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</si>
  <si>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</si>
  <si>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</si>
  <si>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</si>
  <si>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</si>
  <si>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</si>
  <si>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</si>
  <si>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</si>
  <si>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</si>
  <si>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</si>
  <si>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</si>
  <si>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</si>
  <si>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</si>
  <si>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</si>
  <si>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</si>
  <si>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</si>
  <si>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</si>
  <si>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</si>
  <si>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</si>
  <si>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</si>
  <si>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</si>
  <si>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</si>
  <si>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</si>
  <si>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</si>
  <si>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</si>
  <si>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</si>
  <si>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</si>
  <si>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</si>
  <si>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</si>
  <si>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</si>
  <si>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</si>
  <si>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</si>
  <si>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</si>
  <si>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</si>
  <si>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</si>
  <si>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</si>
  <si>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</si>
  <si>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</si>
  <si>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</si>
  <si>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</si>
  <si>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</si>
  <si>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</si>
  <si>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</si>
  <si>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</si>
  <si>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</si>
  <si>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</si>
  <si>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</si>
  <si>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</si>
  <si>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</si>
  <si>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</si>
  <si>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</si>
  <si>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</si>
  <si>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</si>
  <si>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</si>
  <si>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</si>
  <si>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</si>
  <si>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</si>
  <si>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</si>
  <si>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</si>
  <si>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</si>
  <si>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</si>
  <si>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</si>
  <si>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</si>
  <si>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</si>
  <si>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</si>
  <si>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</si>
  <si>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</si>
  <si>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</si>
  <si>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</si>
  <si>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</si>
  <si>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</si>
  <si>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</si>
  <si>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</si>
  <si>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</si>
  <si>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</si>
  <si>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</si>
  <si>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</si>
  <si>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</si>
  <si>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</si>
  <si>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</si>
  <si>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</si>
  <si>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</si>
  <si>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</si>
  <si>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</si>
  <si>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</si>
  <si>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</si>
  <si>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</si>
  <si>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</si>
  <si>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</si>
  <si>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</si>
  <si>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</si>
  <si>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</si>
  <si>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</si>
  <si>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</si>
  <si>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</si>
  <si>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</si>
  <si>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</si>
  <si>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</si>
  <si>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</si>
  <si>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</si>
  <si>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</si>
  <si>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</si>
  <si>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</si>
  <si>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</si>
  <si>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</si>
  <si>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</si>
  <si>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</si>
  <si>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</si>
  <si>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</si>
  <si>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</si>
  <si>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</si>
  <si>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</si>
  <si>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</si>
  <si>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</si>
  <si>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</si>
  <si>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</si>
  <si>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</si>
  <si>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</si>
  <si>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</si>
  <si>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</si>
  <si>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</si>
  <si>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</si>
  <si>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</si>
  <si>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</si>
  <si>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</si>
  <si>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</si>
  <si>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</si>
  <si>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</si>
  <si>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</si>
  <si>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</si>
  <si>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</si>
  <si>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</si>
  <si>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</si>
  <si>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</si>
  <si>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</si>
  <si>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</si>
  <si>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</si>
  <si>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</si>
  <si>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</si>
  <si>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</si>
  <si>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</si>
  <si>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</si>
  <si>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</si>
  <si>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</si>
  <si>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</si>
  <si>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</si>
  <si>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</si>
  <si>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</si>
  <si>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</si>
  <si>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</si>
  <si>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</si>
  <si>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</si>
  <si>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</si>
  <si>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</si>
  <si>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</si>
  <si>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</si>
  <si>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</si>
  <si>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</si>
  <si>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</si>
  <si>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</si>
  <si>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</si>
  <si>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</si>
  <si>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</si>
  <si>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</si>
  <si>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</si>
  <si>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</si>
  <si>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</si>
  <si>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</si>
  <si>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</si>
  <si>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</si>
  <si>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</si>
  <si>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</si>
  <si>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</si>
  <si>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</si>
  <si>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</si>
  <si>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</si>
  <si>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</si>
  <si>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</si>
  <si>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</si>
  <si>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</si>
  <si>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</si>
  <si>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</si>
  <si>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</si>
  <si>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</si>
  <si>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</si>
  <si>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</si>
  <si>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</si>
  <si>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</si>
  <si>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</si>
  <si>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</si>
  <si>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</si>
  <si>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</si>
  <si>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</si>
  <si>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</si>
  <si>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</si>
  <si>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</si>
  <si>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</si>
  <si>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</si>
  <si>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</si>
  <si>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</si>
  <si>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</si>
  <si>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</si>
  <si>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</si>
  <si>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</si>
  <si>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</si>
  <si>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</si>
  <si>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</si>
  <si>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</si>
  <si>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</si>
  <si>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</si>
  <si>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</si>
  <si>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</si>
  <si>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</si>
  <si>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</si>
  <si>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</si>
  <si>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</si>
  <si>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</si>
  <si>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</si>
  <si>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</si>
  <si>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</si>
  <si>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</si>
  <si>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</si>
  <si>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</si>
  <si>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</si>
  <si>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</si>
  <si>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</si>
  <si>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</si>
  <si>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</si>
  <si>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</si>
  <si>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</si>
  <si>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</si>
  <si>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</si>
  <si>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</si>
  <si>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</si>
  <si>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</si>
  <si>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</si>
  <si>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</si>
  <si>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</si>
  <si>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</si>
  <si>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</si>
  <si>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</si>
  <si>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</si>
  <si>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</si>
  <si>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</si>
  <si>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</si>
  <si>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</si>
  <si>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</si>
  <si>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</si>
  <si>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</si>
  <si>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</si>
  <si>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</si>
  <si>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</si>
  <si>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</si>
  <si>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</si>
  <si>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</si>
  <si>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</si>
  <si>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</si>
  <si>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</si>
  <si>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</si>
  <si>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</si>
  <si>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</si>
  <si>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</si>
  <si>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</si>
  <si>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</si>
  <si>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</si>
  <si>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</si>
  <si>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</si>
  <si>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</si>
  <si>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</si>
  <si>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</si>
  <si>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</si>
  <si>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</si>
  <si>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</si>
  <si>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</si>
  <si>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1- Qual o faturamento </t>
    </r>
    <r>
      <rPr>
        <b/>
        <sz val="11"/>
        <color theme="1"/>
        <rFont val="Aptos Narrow"/>
        <scheme val="minor"/>
      </rPr>
      <t>total de vendas de planos anuais</t>
    </r>
    <r>
      <rPr>
        <sz val="11"/>
        <color theme="1"/>
        <rFont val="Aptos Narrow"/>
        <family val="2"/>
        <scheme val="minor"/>
      </rPr>
      <t xml:space="preserve"> contendo </t>
    </r>
    <r>
      <rPr>
        <b/>
        <sz val="11"/>
        <color theme="1"/>
        <rFont val="Aptos Narrow"/>
        <scheme val="minor"/>
      </rPr>
      <t>todos planos agregados</t>
    </r>
    <r>
      <rPr>
        <sz val="11"/>
        <color theme="1"/>
        <rFont val="Aptos Narrow"/>
        <family val="2"/>
        <scheme val="minor"/>
      </rPr>
      <t xml:space="preserve"> ?</t>
    </r>
  </si>
  <si>
    <t>Rótulos de Linha</t>
  </si>
  <si>
    <t>Total Geral</t>
  </si>
  <si>
    <t>Soma de Total Value</t>
  </si>
  <si>
    <r>
      <t>Pergunta 2- Qual o faturamento</t>
    </r>
    <r>
      <rPr>
        <b/>
        <sz val="11"/>
        <color theme="1"/>
        <rFont val="Aptos Narrow"/>
        <scheme val="minor"/>
      </rPr>
      <t xml:space="preserve"> total de vendas de planos anuais</t>
    </r>
    <r>
      <rPr>
        <sz val="11"/>
        <color theme="1"/>
        <rFont val="Aptos Narrow"/>
        <family val="2"/>
        <scheme val="minor"/>
      </rPr>
      <t xml:space="preserve"> separado por </t>
    </r>
    <r>
      <rPr>
        <b/>
        <sz val="11"/>
        <color theme="1"/>
        <rFont val="Aptos Narrow"/>
        <scheme val="minor"/>
      </rPr>
      <t>auto renovação ou não</t>
    </r>
    <r>
      <rPr>
        <sz val="11"/>
        <color theme="1"/>
        <rFont val="Aptos Narrow"/>
        <family val="2"/>
        <scheme val="minor"/>
      </rPr>
      <t xml:space="preserve"> ?</t>
    </r>
  </si>
  <si>
    <t>XBOX GAME PASS SUBSCRIPTION SALES</t>
  </si>
  <si>
    <t>Pergunta 3- Total de vendas de assinaturas EA play</t>
  </si>
  <si>
    <t>Soma de EA Play Season Pass</t>
  </si>
  <si>
    <t>Pergunta 3- Total de vendas de assinaturas Minecraft season pass</t>
  </si>
  <si>
    <t>Soma de Minecraft Season Pass Price</t>
  </si>
  <si>
    <t>Update date: 06/04/2026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</si>
</sst>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1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3"/>
      <color theme="3"/>
      <name val="Aptos Narrow"/>
      <family val="2"/>
      <scheme val="minor"/>
    </font>
    <font>
      <sz val="11"/>
      <color theme="1"/>
      <name val="Segue UI"/>
    </font>
    <font>
      <b/>
      <sz val="20"/>
      <color rgb="FF00B050"/>
      <name val="Aptos Narrow"/>
      <scheme val="minor"/>
    </font>
    <font>
      <b/>
      <sz val="20"/>
      <color theme="3"/>
      <name val="Aptos Narrow"/>
      <scheme val="minor"/>
    </font>
    <font>
      <sz val="11"/>
      <color theme="2" tint="-0.499984740745262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5BF6A8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5" fillId="0" borderId="2" applyNumberFormat="0" applyFill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9" borderId="0" xfId="0" applyFill="1"/>
    <xf numFmtId="0" fontId="6" fillId="9" borderId="0" xfId="0" applyFont="1" applyFill="1"/>
    <xf numFmtId="0" fontId="0" fillId="8" borderId="0" xfId="0" applyFill="1" applyAlignment="1">
      <alignment horizontal="left"/>
    </xf>
    <xf numFmtId="0" fontId="7" fillId="9" borderId="3" xfId="3" applyFont="1" applyFill="1" applyBorder="1" applyAlignment="1">
      <alignment horizontal="left"/>
    </xf>
    <xf numFmtId="0" fontId="8" fillId="9" borderId="3" xfId="3" applyFont="1" applyFill="1" applyBorder="1" applyAlignment="1">
      <alignment horizontal="left"/>
    </xf>
    <xf numFmtId="0" fontId="0" fillId="8" borderId="0" xfId="0" applyFill="1"/>
    <xf numFmtId="164" fontId="0" fillId="0" borderId="0" xfId="0" applyNumberFormat="1"/>
    <xf numFmtId="4" fontId="0" fillId="0" borderId="0" xfId="0" applyNumberFormat="1"/>
    <xf numFmtId="164" fontId="0" fillId="6" borderId="0" xfId="0" applyNumberFormat="1" applyFill="1" applyAlignment="1">
      <alignment horizontal="center"/>
    </xf>
    <xf numFmtId="0" fontId="9" fillId="8" borderId="0" xfId="0" applyFont="1" applyFill="1"/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44">
    <dxf>
      <numFmt numFmtId="164" formatCode="&quot;R$&quot;\ #,##0.00"/>
    </dxf>
    <dxf>
      <numFmt numFmtId="164" formatCode="&quot;R$&quot;\ #,##0.00"/>
    </dxf>
    <dxf>
      <numFmt numFmtId="4" formatCode="#,##0.00"/>
    </dxf>
    <dxf>
      <numFmt numFmtId="4" formatCode="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4" formatCode="#,##0.00"/>
    </dxf>
    <dxf>
      <numFmt numFmtId="4" formatCode="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4" formatCode="#,##0.00"/>
    </dxf>
    <dxf>
      <numFmt numFmtId="4" formatCode="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4" formatCode="#,##0.00"/>
    </dxf>
    <dxf>
      <numFmt numFmtId="4" formatCode="#,##0.00"/>
    </dxf>
    <dxf>
      <numFmt numFmtId="164" formatCode="&quot;R$&quot;\ #,##0.00"/>
    </dxf>
    <dxf>
      <numFmt numFmtId="164" formatCode="&quot;R$&quot;\ #,##0.00"/>
    </dxf>
    <dxf>
      <font>
        <b/>
        <i val="0"/>
        <color theme="0"/>
      </font>
      <border diagonalUp="0" diagonalDown="0">
        <left/>
        <right/>
        <top/>
        <bottom/>
        <vertical/>
        <horizontal/>
      </border>
    </dxf>
    <dxf>
      <font>
        <b/>
        <i val="0"/>
        <color theme="1"/>
      </font>
      <fill>
        <patternFill patternType="solid">
          <fgColor rgb="FF22C55E"/>
          <bgColor theme="6" tint="0.39991454817346722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>
      <tableStyleElement type="wholeTable" dxfId="29"/>
      <tableStyleElement type="headerRow" dxfId="28"/>
    </tableStyle>
  </tableStyles>
  <colors>
    <mruColors>
      <color rgb="FF22C55E"/>
      <color rgb="FFFFFFFF"/>
      <color rgb="FF5BF6A8"/>
      <color rgb="FF0AECA6"/>
      <color rgb="FF00FF00"/>
      <color rgb="FFE8E6E9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[base-xbox (Recuperado).xlsx]C̳álculos!tbl_annual_total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0AECA6"/>
          </a:solidFill>
          <a:ln>
            <a:noFill/>
          </a:ln>
          <a:effectLst/>
        </c:spPr>
        <c:marker>
          <c:symbol val="none"/>
        </c:marker>
      </c:pivotFmt>
      <c:pivotFmt>
        <c:idx val="2"/>
      </c:pivotFmt>
      <c:pivotFmt>
        <c:idx val="3"/>
        <c:spPr>
          <a:solidFill>
            <a:srgbClr val="0AECA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C7E-40DA-91A1-DC51B775B616}"/>
                </c:ext>
              </c:extLst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C7E-40DA-91A1-DC51B775B6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"R$"\ #,##0.00</c:formatCode>
                <c:ptCount val="2"/>
                <c:pt idx="0">
                  <c:v>122</c:v>
                </c:pt>
                <c:pt idx="1">
                  <c:v>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B-4917-8B29-22238DC45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8096464"/>
        <c:axId val="738090640"/>
      </c:barChart>
      <c:catAx>
        <c:axId val="73809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8090640"/>
        <c:crosses val="autoZero"/>
        <c:auto val="1"/>
        <c:lblAlgn val="ctr"/>
        <c:lblOffset val="100"/>
        <c:noMultiLvlLbl val="0"/>
      </c:catAx>
      <c:valAx>
        <c:axId val="73809064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73809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0</xdr:row>
      <xdr:rowOff>0</xdr:rowOff>
    </xdr:from>
    <xdr:to>
      <xdr:col>13</xdr:col>
      <xdr:colOff>304800</xdr:colOff>
      <xdr:row>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381001</xdr:colOff>
      <xdr:row>1</xdr:row>
      <xdr:rowOff>154781</xdr:rowOff>
    </xdr:from>
    <xdr:to>
      <xdr:col>0</xdr:col>
      <xdr:colOff>1260233</xdr:colOff>
      <xdr:row>7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96" t="17133" r="72715" b="15080"/>
        <a:stretch/>
      </xdr:blipFill>
      <xdr:spPr>
        <a:xfrm>
          <a:off x="381001" y="333375"/>
          <a:ext cx="879232" cy="10358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126207</xdr:rowOff>
    </xdr:from>
    <xdr:to>
      <xdr:col>0</xdr:col>
      <xdr:colOff>1828800</xdr:colOff>
      <xdr:row>26</xdr:row>
      <xdr:rowOff>78582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00238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10</xdr:row>
      <xdr:rowOff>11906</xdr:rowOff>
    </xdr:from>
    <xdr:to>
      <xdr:col>6</xdr:col>
      <xdr:colOff>2726531</xdr:colOff>
      <xdr:row>21</xdr:row>
      <xdr:rowOff>285751</xdr:rowOff>
    </xdr:to>
    <xdr:grpSp>
      <xdr:nvGrpSpPr>
        <xdr:cNvPr id="13" name="Agrupar 12"/>
        <xdr:cNvGrpSpPr/>
      </xdr:nvGrpSpPr>
      <xdr:grpSpPr>
        <a:xfrm>
          <a:off x="2024062" y="1916906"/>
          <a:ext cx="5454386" cy="1713178"/>
          <a:chOff x="2012156" y="1928812"/>
          <a:chExt cx="5464969" cy="1714501"/>
        </a:xfrm>
      </xdr:grpSpPr>
      <xdr:grpSp>
        <xdr:nvGrpSpPr>
          <xdr:cNvPr id="10" name="Agrupar 9"/>
          <xdr:cNvGrpSpPr/>
        </xdr:nvGrpSpPr>
        <xdr:grpSpPr>
          <a:xfrm>
            <a:off x="2035969" y="1964531"/>
            <a:ext cx="5441156" cy="1678782"/>
            <a:chOff x="2035969" y="1345406"/>
            <a:chExt cx="5441156" cy="1678782"/>
          </a:xfrm>
        </xdr:grpSpPr>
        <xdr:sp macro="" textlink="">
          <xdr:nvSpPr>
            <xdr:cNvPr id="9" name="Retângulo Arredondado 8"/>
            <xdr:cNvSpPr/>
          </xdr:nvSpPr>
          <xdr:spPr>
            <a:xfrm>
              <a:off x="2035969" y="1345406"/>
              <a:ext cx="5441156" cy="1678782"/>
            </a:xfrm>
            <a:prstGeom prst="roundRect">
              <a:avLst>
                <a:gd name="adj" fmla="val 815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25">
          <xdr:nvSpPr>
            <xdr:cNvPr id="8" name="Retângulo Arredondado 7"/>
            <xdr:cNvSpPr/>
          </xdr:nvSpPr>
          <xdr:spPr>
            <a:xfrm>
              <a:off x="4167186" y="1750220"/>
              <a:ext cx="3012281" cy="1154906"/>
            </a:xfrm>
            <a:prstGeom prst="roundRect">
              <a:avLst>
                <a:gd name="adj" fmla="val 8667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1E1B9DB-7E13-4C92-BF59-09E3D3F32CE9}" type="TxLink">
                <a:rPr lang="en-US" sz="36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R$ 600,00</a:t>
              </a:fld>
              <a:endParaRPr lang="pt-BR" sz="3600" b="1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16969" y="2440781"/>
            <a:ext cx="1371600" cy="1152525"/>
          </a:xfrm>
          <a:prstGeom prst="rect">
            <a:avLst/>
          </a:prstGeom>
        </xdr:spPr>
      </xdr:pic>
      <xdr:sp macro="" textlink="">
        <xdr:nvSpPr>
          <xdr:cNvPr id="12" name="Arredondar Retângulo no Mesmo Canto Lateral 11"/>
          <xdr:cNvSpPr/>
        </xdr:nvSpPr>
        <xdr:spPr>
          <a:xfrm>
            <a:off x="2012156" y="1928812"/>
            <a:ext cx="5464969" cy="5238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TOTAL SUBSCRIPTION EA PLAY SEASON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6</xdr:col>
      <xdr:colOff>3143250</xdr:colOff>
      <xdr:row>10</xdr:row>
      <xdr:rowOff>0</xdr:rowOff>
    </xdr:from>
    <xdr:to>
      <xdr:col>6</xdr:col>
      <xdr:colOff>8608219</xdr:colOff>
      <xdr:row>21</xdr:row>
      <xdr:rowOff>273845</xdr:rowOff>
    </xdr:to>
    <xdr:grpSp>
      <xdr:nvGrpSpPr>
        <xdr:cNvPr id="26" name="Agrupar 25"/>
        <xdr:cNvGrpSpPr/>
      </xdr:nvGrpSpPr>
      <xdr:grpSpPr>
        <a:xfrm>
          <a:off x="7895167" y="1905000"/>
          <a:ext cx="5436394" cy="1713178"/>
          <a:chOff x="7905750" y="1893094"/>
          <a:chExt cx="5464969" cy="1714501"/>
        </a:xfrm>
      </xdr:grpSpPr>
      <xdr:grpSp>
        <xdr:nvGrpSpPr>
          <xdr:cNvPr id="14" name="Agrupar 13"/>
          <xdr:cNvGrpSpPr/>
        </xdr:nvGrpSpPr>
        <xdr:grpSpPr>
          <a:xfrm>
            <a:off x="7905750" y="1893094"/>
            <a:ext cx="5464969" cy="1714501"/>
            <a:chOff x="2012156" y="1928812"/>
            <a:chExt cx="5464969" cy="1714501"/>
          </a:xfrm>
        </xdr:grpSpPr>
        <xdr:grpSp>
          <xdr:nvGrpSpPr>
            <xdr:cNvPr id="15" name="Agrupar 14"/>
            <xdr:cNvGrpSpPr/>
          </xdr:nvGrpSpPr>
          <xdr:grpSpPr>
            <a:xfrm>
              <a:off x="2035969" y="1964531"/>
              <a:ext cx="5441156" cy="1678782"/>
              <a:chOff x="2035969" y="1345406"/>
              <a:chExt cx="5441156" cy="1678782"/>
            </a:xfrm>
          </xdr:grpSpPr>
          <xdr:sp macro="" textlink="">
            <xdr:nvSpPr>
              <xdr:cNvPr id="18" name="Retângulo Arredondado 17"/>
              <xdr:cNvSpPr/>
            </xdr:nvSpPr>
            <xdr:spPr>
              <a:xfrm>
                <a:off x="2035969" y="1345406"/>
                <a:ext cx="5441156" cy="1678782"/>
              </a:xfrm>
              <a:prstGeom prst="roundRect">
                <a:avLst>
                  <a:gd name="adj" fmla="val 8156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en-US" sz="3600" b="1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  <xdr:sp macro="" textlink="D̳ashboard!$F$36">
            <xdr:nvSpPr>
              <xdr:cNvPr id="19" name="Retângulo Arredondado 18"/>
              <xdr:cNvSpPr/>
            </xdr:nvSpPr>
            <xdr:spPr>
              <a:xfrm>
                <a:off x="4238623" y="1774032"/>
                <a:ext cx="3012281" cy="1154906"/>
              </a:xfrm>
              <a:prstGeom prst="roundRect">
                <a:avLst>
                  <a:gd name="adj" fmla="val 8667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5F915C1A-6A0F-457F-8D6B-81E99A9B1A81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  <a:cs typeface="Segoe UI" panose="020B0502040204020203" pitchFamily="34" charset="0"/>
                  </a:rPr>
                  <a:t> </a:t>
                </a:fld>
                <a:endParaRPr lang="en-US" sz="36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sp macro="" textlink="">
          <xdr:nvSpPr>
            <xdr:cNvPr id="17" name="Arredondar Retângulo no Mesmo Canto Lateral 16"/>
            <xdr:cNvSpPr/>
          </xdr:nvSpPr>
          <xdr:spPr>
            <a:xfrm>
              <a:off x="2012156" y="1928812"/>
              <a:ext cx="5464969" cy="52387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 MINECRAFT SEASON PASS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8358188" y="2571750"/>
            <a:ext cx="1440656" cy="619125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sp macro="" textlink="C̳álculos!F36">
        <xdr:nvSpPr>
          <xdr:cNvPr id="24" name="Retângulo Arredondado 23"/>
          <xdr:cNvSpPr/>
        </xdr:nvSpPr>
        <xdr:spPr>
          <a:xfrm>
            <a:off x="10025062" y="2333626"/>
            <a:ext cx="3012281" cy="1154906"/>
          </a:xfrm>
          <a:prstGeom prst="roundRect">
            <a:avLst>
              <a:gd name="adj" fmla="val 8667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3874589-051F-49CB-A565-8AC67C2CE2C9}" type="TxLink">
              <a:rPr lang="en-US" sz="36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R$ 940,00</a:t>
            </a:fld>
            <a:endParaRPr lang="pt-BR" sz="36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47623</xdr:colOff>
      <xdr:row>24</xdr:row>
      <xdr:rowOff>0</xdr:rowOff>
    </xdr:from>
    <xdr:to>
      <xdr:col>6</xdr:col>
      <xdr:colOff>8643937</xdr:colOff>
      <xdr:row>41</xdr:row>
      <xdr:rowOff>154780</xdr:rowOff>
    </xdr:to>
    <xdr:grpSp>
      <xdr:nvGrpSpPr>
        <xdr:cNvPr id="28" name="Agrupar 27"/>
        <xdr:cNvGrpSpPr/>
      </xdr:nvGrpSpPr>
      <xdr:grpSpPr>
        <a:xfrm>
          <a:off x="2047873" y="4000500"/>
          <a:ext cx="11290831" cy="3213363"/>
          <a:chOff x="2071686" y="3988594"/>
          <a:chExt cx="11358564" cy="2704765"/>
        </a:xfrm>
      </xdr:grpSpPr>
      <xdr:grpSp>
        <xdr:nvGrpSpPr>
          <xdr:cNvPr id="7" name="Agrupar 6"/>
          <xdr:cNvGrpSpPr/>
        </xdr:nvGrpSpPr>
        <xdr:grpSpPr>
          <a:xfrm>
            <a:off x="2071686" y="3988594"/>
            <a:ext cx="11358564" cy="2704765"/>
            <a:chOff x="2274093" y="1905000"/>
            <a:chExt cx="5019761" cy="2704765"/>
          </a:xfrm>
        </xdr:grpSpPr>
        <xdr:sp macro="" textlink="">
          <xdr:nvSpPr>
            <xdr:cNvPr id="5" name="Retângulo Arredondado 4"/>
            <xdr:cNvSpPr/>
          </xdr:nvSpPr>
          <xdr:spPr>
            <a:xfrm>
              <a:off x="2274093" y="1905000"/>
              <a:ext cx="5019761" cy="2514294"/>
            </a:xfrm>
            <a:prstGeom prst="roundRect">
              <a:avLst>
                <a:gd name="adj" fmla="val 5775"/>
              </a:avLst>
            </a:prstGeom>
            <a:solidFill>
              <a:srgbClr val="FFFFFF"/>
            </a:solidFill>
            <a:ln>
              <a:noFill/>
            </a:ln>
            <a:effectLst>
              <a:softEdge rad="0"/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2000"/>
            </a:p>
          </xdr:txBody>
        </xdr:sp>
        <xdr:graphicFrame macro="">
          <xdr:nvGraphicFramePr>
            <xdr:cNvPr id="3" name="Gráfico 2"/>
            <xdr:cNvGraphicFramePr>
              <a:graphicFrameLocks/>
            </xdr:cNvGraphicFramePr>
          </xdr:nvGraphicFramePr>
          <xdr:xfrm>
            <a:off x="2406654" y="2389436"/>
            <a:ext cx="4824058" cy="222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27" name="Arredondar Retângulo no Mesmo Canto Lateral 26"/>
          <xdr:cNvSpPr/>
        </xdr:nvSpPr>
        <xdr:spPr>
          <a:xfrm>
            <a:off x="2071686" y="3988595"/>
            <a:ext cx="11358564" cy="47434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TOTAL SUBSCRIPTION XBOX GAME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uno" refreshedDate="46118.647237731479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x v="0"/>
    <x v="0"/>
    <x v="0"/>
    <x v="0"/>
    <x v="0"/>
    <x v="0"/>
    <n v="20"/>
    <n v="5"/>
    <x v="0"/>
  </r>
  <r>
    <n v="3232"/>
    <s v="Maria Oliveira"/>
    <x v="1"/>
    <d v="2024-01-15T00:00:00"/>
    <x v="1"/>
    <x v="1"/>
    <x v="1"/>
    <x v="1"/>
    <x v="1"/>
    <x v="1"/>
    <n v="0"/>
    <n v="0"/>
    <x v="1"/>
  </r>
  <r>
    <n v="3233"/>
    <s v="Lucas Fernandes"/>
    <x v="2"/>
    <d v="2024-02-10T00:00:00"/>
    <x v="0"/>
    <x v="2"/>
    <x v="2"/>
    <x v="1"/>
    <x v="1"/>
    <x v="0"/>
    <n v="20"/>
    <n v="10"/>
    <x v="2"/>
  </r>
  <r>
    <n v="3234"/>
    <s v="Ana Souza"/>
    <x v="0"/>
    <d v="2024-02-20T00:00:00"/>
    <x v="1"/>
    <x v="0"/>
    <x v="0"/>
    <x v="0"/>
    <x v="0"/>
    <x v="0"/>
    <n v="20"/>
    <n v="3"/>
    <x v="3"/>
  </r>
  <r>
    <n v="3235"/>
    <s v="Pedro Gonçalves"/>
    <x v="1"/>
    <d v="2024-03-05T00:00:00"/>
    <x v="0"/>
    <x v="1"/>
    <x v="0"/>
    <x v="1"/>
    <x v="1"/>
    <x v="1"/>
    <n v="0"/>
    <n v="1"/>
    <x v="4"/>
  </r>
  <r>
    <n v="3236"/>
    <s v="Felipe Costa"/>
    <x v="2"/>
    <d v="2024-03-02T00:00:00"/>
    <x v="1"/>
    <x v="2"/>
    <x v="0"/>
    <x v="1"/>
    <x v="1"/>
    <x v="0"/>
    <n v="20"/>
    <n v="2"/>
    <x v="5"/>
  </r>
  <r>
    <n v="3237"/>
    <s v="Camila Ribeiro"/>
    <x v="0"/>
    <d v="2024-03-03T00:00:00"/>
    <x v="0"/>
    <x v="0"/>
    <x v="2"/>
    <x v="0"/>
    <x v="0"/>
    <x v="0"/>
    <n v="20"/>
    <n v="10"/>
    <x v="6"/>
  </r>
  <r>
    <n v="3238"/>
    <s v="André Mendes"/>
    <x v="1"/>
    <d v="2024-03-04T00:00:00"/>
    <x v="0"/>
    <x v="1"/>
    <x v="1"/>
    <x v="1"/>
    <x v="1"/>
    <x v="1"/>
    <n v="0"/>
    <n v="0"/>
    <x v="1"/>
  </r>
  <r>
    <n v="3239"/>
    <s v="Sofia Almeida"/>
    <x v="0"/>
    <d v="2024-03-05T00:00:00"/>
    <x v="1"/>
    <x v="0"/>
    <x v="0"/>
    <x v="0"/>
    <x v="0"/>
    <x v="0"/>
    <n v="20"/>
    <n v="5"/>
    <x v="0"/>
  </r>
  <r>
    <n v="3240"/>
    <s v="Bruno Martins"/>
    <x v="2"/>
    <d v="2024-03-06T00:00:00"/>
    <x v="0"/>
    <x v="2"/>
    <x v="2"/>
    <x v="1"/>
    <x v="1"/>
    <x v="0"/>
    <n v="20"/>
    <n v="15"/>
    <x v="7"/>
  </r>
  <r>
    <n v="3241"/>
    <s v="Rita Castro"/>
    <x v="1"/>
    <d v="2024-03-07T00:00:00"/>
    <x v="1"/>
    <x v="1"/>
    <x v="0"/>
    <x v="1"/>
    <x v="1"/>
    <x v="1"/>
    <n v="0"/>
    <n v="1"/>
    <x v="4"/>
  </r>
  <r>
    <n v="3242"/>
    <s v="Marco Túlio"/>
    <x v="0"/>
    <d v="2024-03-08T00:00:00"/>
    <x v="0"/>
    <x v="0"/>
    <x v="1"/>
    <x v="0"/>
    <x v="0"/>
    <x v="0"/>
    <n v="20"/>
    <n v="20"/>
    <x v="8"/>
  </r>
  <r>
    <n v="3243"/>
    <s v="Lívia Silveira"/>
    <x v="2"/>
    <d v="2024-03-09T00:00:00"/>
    <x v="1"/>
    <x v="2"/>
    <x v="0"/>
    <x v="1"/>
    <x v="1"/>
    <x v="0"/>
    <n v="20"/>
    <n v="10"/>
    <x v="2"/>
  </r>
  <r>
    <n v="3244"/>
    <s v="Diogo Sousa"/>
    <x v="1"/>
    <d v="2024-03-10T00:00:00"/>
    <x v="0"/>
    <x v="1"/>
    <x v="2"/>
    <x v="1"/>
    <x v="1"/>
    <x v="1"/>
    <n v="0"/>
    <n v="0"/>
    <x v="1"/>
  </r>
  <r>
    <n v="3245"/>
    <s v="Fernanda Lima"/>
    <x v="0"/>
    <d v="2024-03-11T00:00:00"/>
    <x v="1"/>
    <x v="0"/>
    <x v="0"/>
    <x v="0"/>
    <x v="0"/>
    <x v="0"/>
    <n v="20"/>
    <n v="8"/>
    <x v="9"/>
  </r>
  <r>
    <n v="3246"/>
    <s v="Caio Pereira"/>
    <x v="2"/>
    <d v="2024-03-12T00:00:00"/>
    <x v="0"/>
    <x v="2"/>
    <x v="1"/>
    <x v="1"/>
    <x v="1"/>
    <x v="0"/>
    <n v="20"/>
    <n v="12"/>
    <x v="10"/>
  </r>
  <r>
    <n v="3247"/>
    <s v="Beatriz Gomes"/>
    <x v="1"/>
    <d v="2024-03-13T00:00:00"/>
    <x v="1"/>
    <x v="1"/>
    <x v="0"/>
    <x v="1"/>
    <x v="1"/>
    <x v="1"/>
    <n v="0"/>
    <n v="2"/>
    <x v="11"/>
  </r>
  <r>
    <n v="3248"/>
    <s v="Cesar Oliveira"/>
    <x v="0"/>
    <d v="2024-03-14T00:00:00"/>
    <x v="0"/>
    <x v="0"/>
    <x v="2"/>
    <x v="0"/>
    <x v="0"/>
    <x v="0"/>
    <n v="20"/>
    <n v="7"/>
    <x v="12"/>
  </r>
  <r>
    <n v="3249"/>
    <s v="Débora Machado"/>
    <x v="2"/>
    <d v="2024-03-15T00:00:00"/>
    <x v="1"/>
    <x v="2"/>
    <x v="0"/>
    <x v="1"/>
    <x v="1"/>
    <x v="0"/>
    <n v="20"/>
    <n v="5"/>
    <x v="13"/>
  </r>
  <r>
    <n v="3250"/>
    <s v="Eduardo Vargas"/>
    <x v="1"/>
    <d v="2024-03-16T00:00:00"/>
    <x v="0"/>
    <x v="1"/>
    <x v="1"/>
    <x v="1"/>
    <x v="1"/>
    <x v="1"/>
    <n v="0"/>
    <n v="0"/>
    <x v="1"/>
  </r>
  <r>
    <n v="3251"/>
    <s v="Gabriela Santos"/>
    <x v="0"/>
    <d v="2024-03-17T00:00:00"/>
    <x v="1"/>
    <x v="0"/>
    <x v="0"/>
    <x v="0"/>
    <x v="0"/>
    <x v="0"/>
    <n v="20"/>
    <n v="3"/>
    <x v="3"/>
  </r>
  <r>
    <n v="3252"/>
    <s v="Henrique Dias"/>
    <x v="2"/>
    <d v="2024-03-18T00:00:00"/>
    <x v="0"/>
    <x v="2"/>
    <x v="2"/>
    <x v="1"/>
    <x v="1"/>
    <x v="0"/>
    <n v="20"/>
    <n v="15"/>
    <x v="7"/>
  </r>
  <r>
    <n v="3253"/>
    <s v="Isabela Moreira"/>
    <x v="1"/>
    <d v="2024-03-19T00:00:00"/>
    <x v="1"/>
    <x v="1"/>
    <x v="0"/>
    <x v="1"/>
    <x v="1"/>
    <x v="1"/>
    <n v="0"/>
    <n v="1"/>
    <x v="4"/>
  </r>
  <r>
    <n v="3254"/>
    <s v="Joaquim Barbosa"/>
    <x v="0"/>
    <d v="2024-03-20T00:00:00"/>
    <x v="0"/>
    <x v="0"/>
    <x v="1"/>
    <x v="0"/>
    <x v="0"/>
    <x v="0"/>
    <n v="20"/>
    <n v="20"/>
    <x v="8"/>
  </r>
  <r>
    <n v="3255"/>
    <s v="Lara Rocha"/>
    <x v="2"/>
    <d v="2024-03-21T00:00:00"/>
    <x v="1"/>
    <x v="2"/>
    <x v="0"/>
    <x v="1"/>
    <x v="1"/>
    <x v="0"/>
    <n v="20"/>
    <n v="10"/>
    <x v="2"/>
  </r>
  <r>
    <n v="3256"/>
    <s v="Matheus Silva"/>
    <x v="1"/>
    <d v="2024-03-22T00:00:00"/>
    <x v="0"/>
    <x v="1"/>
    <x v="2"/>
    <x v="1"/>
    <x v="1"/>
    <x v="1"/>
    <n v="0"/>
    <n v="0"/>
    <x v="1"/>
  </r>
  <r>
    <n v="3257"/>
    <s v="Nicole Costa"/>
    <x v="0"/>
    <d v="2024-03-23T00:00:00"/>
    <x v="1"/>
    <x v="0"/>
    <x v="0"/>
    <x v="0"/>
    <x v="0"/>
    <x v="0"/>
    <n v="20"/>
    <n v="5"/>
    <x v="0"/>
  </r>
  <r>
    <n v="3258"/>
    <s v="Otávio Mendonça"/>
    <x v="2"/>
    <d v="2024-03-24T00:00:00"/>
    <x v="0"/>
    <x v="2"/>
    <x v="1"/>
    <x v="1"/>
    <x v="1"/>
    <x v="0"/>
    <n v="20"/>
    <n v="15"/>
    <x v="7"/>
  </r>
  <r>
    <n v="3259"/>
    <s v="Paula Ferreira"/>
    <x v="1"/>
    <d v="2024-03-25T00:00:00"/>
    <x v="1"/>
    <x v="1"/>
    <x v="0"/>
    <x v="1"/>
    <x v="1"/>
    <x v="1"/>
    <n v="0"/>
    <n v="1"/>
    <x v="4"/>
  </r>
  <r>
    <n v="3260"/>
    <s v="Raquel Alves"/>
    <x v="0"/>
    <d v="2024-03-26T00:00:00"/>
    <x v="0"/>
    <x v="0"/>
    <x v="2"/>
    <x v="0"/>
    <x v="0"/>
    <x v="0"/>
    <n v="20"/>
    <n v="7"/>
    <x v="12"/>
  </r>
  <r>
    <n v="3261"/>
    <s v="Samuel Pires"/>
    <x v="2"/>
    <d v="2024-03-27T00:00:00"/>
    <x v="1"/>
    <x v="2"/>
    <x v="0"/>
    <x v="1"/>
    <x v="1"/>
    <x v="0"/>
    <n v="20"/>
    <n v="10"/>
    <x v="2"/>
  </r>
  <r>
    <n v="3262"/>
    <s v="Tânia Barros"/>
    <x v="1"/>
    <d v="2024-03-28T00:00:00"/>
    <x v="0"/>
    <x v="1"/>
    <x v="1"/>
    <x v="1"/>
    <x v="1"/>
    <x v="1"/>
    <n v="0"/>
    <n v="0"/>
    <x v="1"/>
  </r>
  <r>
    <n v="3263"/>
    <s v="Vinicius Lima"/>
    <x v="0"/>
    <d v="2024-03-29T00:00:00"/>
    <x v="1"/>
    <x v="0"/>
    <x v="0"/>
    <x v="0"/>
    <x v="0"/>
    <x v="0"/>
    <n v="20"/>
    <n v="3"/>
    <x v="3"/>
  </r>
  <r>
    <n v="3264"/>
    <s v="Yasmin Teixeira"/>
    <x v="2"/>
    <d v="2024-03-30T00:00:00"/>
    <x v="0"/>
    <x v="2"/>
    <x v="2"/>
    <x v="1"/>
    <x v="1"/>
    <x v="0"/>
    <n v="20"/>
    <n v="15"/>
    <x v="7"/>
  </r>
  <r>
    <n v="3265"/>
    <s v="Zé Carlos"/>
    <x v="1"/>
    <d v="2024-03-31T00:00:00"/>
    <x v="1"/>
    <x v="1"/>
    <x v="0"/>
    <x v="1"/>
    <x v="1"/>
    <x v="1"/>
    <n v="0"/>
    <n v="1"/>
    <x v="4"/>
  </r>
  <r>
    <n v="3266"/>
    <s v="Amanda Nogueira"/>
    <x v="1"/>
    <d v="2024-04-01T00:00:00"/>
    <x v="0"/>
    <x v="1"/>
    <x v="0"/>
    <x v="1"/>
    <x v="1"/>
    <x v="1"/>
    <n v="0"/>
    <n v="0"/>
    <x v="1"/>
  </r>
  <r>
    <n v="3267"/>
    <s v="Bruno Cavalheiro"/>
    <x v="0"/>
    <d v="2024-04-02T00:00:00"/>
    <x v="1"/>
    <x v="0"/>
    <x v="2"/>
    <x v="0"/>
    <x v="0"/>
    <x v="0"/>
    <n v="20"/>
    <n v="7"/>
    <x v="12"/>
  </r>
  <r>
    <n v="3268"/>
    <s v="Carla Dias"/>
    <x v="2"/>
    <d v="2024-04-03T00:00:00"/>
    <x v="0"/>
    <x v="2"/>
    <x v="1"/>
    <x v="1"/>
    <x v="1"/>
    <x v="0"/>
    <n v="20"/>
    <n v="10"/>
    <x v="2"/>
  </r>
  <r>
    <n v="3269"/>
    <s v="Diego Fontes"/>
    <x v="1"/>
    <d v="2024-04-04T00:00:00"/>
    <x v="1"/>
    <x v="1"/>
    <x v="2"/>
    <x v="1"/>
    <x v="1"/>
    <x v="1"/>
    <n v="0"/>
    <n v="1"/>
    <x v="4"/>
  </r>
  <r>
    <n v="3270"/>
    <s v="Eunice Lima"/>
    <x v="0"/>
    <d v="2024-04-05T00:00:00"/>
    <x v="0"/>
    <x v="0"/>
    <x v="0"/>
    <x v="0"/>
    <x v="0"/>
    <x v="0"/>
    <n v="20"/>
    <n v="15"/>
    <x v="14"/>
  </r>
  <r>
    <n v="3271"/>
    <s v="Fábio Martins"/>
    <x v="2"/>
    <d v="2024-04-06T00:00:00"/>
    <x v="1"/>
    <x v="2"/>
    <x v="0"/>
    <x v="1"/>
    <x v="1"/>
    <x v="0"/>
    <n v="20"/>
    <n v="5"/>
    <x v="13"/>
  </r>
  <r>
    <n v="3272"/>
    <s v="Gisele Araújo"/>
    <x v="1"/>
    <d v="2024-04-07T00:00:00"/>
    <x v="0"/>
    <x v="1"/>
    <x v="1"/>
    <x v="1"/>
    <x v="1"/>
    <x v="1"/>
    <n v="0"/>
    <n v="0"/>
    <x v="1"/>
  </r>
  <r>
    <n v="3273"/>
    <s v="Hélio Castro"/>
    <x v="0"/>
    <d v="2024-04-08T00:00:00"/>
    <x v="1"/>
    <x v="0"/>
    <x v="2"/>
    <x v="0"/>
    <x v="0"/>
    <x v="0"/>
    <n v="20"/>
    <n v="20"/>
    <x v="8"/>
  </r>
  <r>
    <n v="3274"/>
    <s v="Ingrid Menezes"/>
    <x v="2"/>
    <d v="2024-04-09T00:00:00"/>
    <x v="0"/>
    <x v="2"/>
    <x v="2"/>
    <x v="1"/>
    <x v="1"/>
    <x v="0"/>
    <n v="20"/>
    <n v="12"/>
    <x v="10"/>
  </r>
  <r>
    <n v="3275"/>
    <s v="Jorge Baptista"/>
    <x v="1"/>
    <d v="2024-04-10T00:00:00"/>
    <x v="1"/>
    <x v="1"/>
    <x v="0"/>
    <x v="1"/>
    <x v="1"/>
    <x v="1"/>
    <n v="0"/>
    <n v="2"/>
    <x v="11"/>
  </r>
  <r>
    <n v="3276"/>
    <s v="Kléber Oliveira"/>
    <x v="0"/>
    <d v="2024-04-11T00:00:00"/>
    <x v="0"/>
    <x v="0"/>
    <x v="1"/>
    <x v="0"/>
    <x v="0"/>
    <x v="0"/>
    <n v="20"/>
    <n v="5"/>
    <x v="0"/>
  </r>
  <r>
    <n v="3277"/>
    <s v="Luciana Freitas"/>
    <x v="2"/>
    <d v="2024-04-12T00:00:00"/>
    <x v="1"/>
    <x v="2"/>
    <x v="0"/>
    <x v="1"/>
    <x v="1"/>
    <x v="0"/>
    <n v="20"/>
    <n v="10"/>
    <x v="2"/>
  </r>
  <r>
    <n v="3278"/>
    <s v="Márcia Eller"/>
    <x v="1"/>
    <d v="2024-04-13T00:00:00"/>
    <x v="0"/>
    <x v="1"/>
    <x v="2"/>
    <x v="1"/>
    <x v="1"/>
    <x v="1"/>
    <n v="0"/>
    <n v="0"/>
    <x v="1"/>
  </r>
  <r>
    <n v="3279"/>
    <s v="Nilo Peçanha"/>
    <x v="0"/>
    <d v="2024-04-14T00:00:00"/>
    <x v="1"/>
    <x v="0"/>
    <x v="0"/>
    <x v="0"/>
    <x v="0"/>
    <x v="0"/>
    <n v="20"/>
    <n v="3"/>
    <x v="3"/>
  </r>
  <r>
    <n v="3280"/>
    <s v="Oscar Neves"/>
    <x v="2"/>
    <d v="2024-04-15T00:00:00"/>
    <x v="0"/>
    <x v="2"/>
    <x v="1"/>
    <x v="1"/>
    <x v="1"/>
    <x v="0"/>
    <n v="20"/>
    <n v="15"/>
    <x v="7"/>
  </r>
  <r>
    <n v="3281"/>
    <s v="Patrícia Soares"/>
    <x v="1"/>
    <d v="2024-04-16T00:00:00"/>
    <x v="1"/>
    <x v="1"/>
    <x v="0"/>
    <x v="1"/>
    <x v="1"/>
    <x v="1"/>
    <n v="0"/>
    <n v="1"/>
    <x v="4"/>
  </r>
  <r>
    <n v="3282"/>
    <s v="Quirino Gonçalves"/>
    <x v="0"/>
    <d v="2024-04-17T00:00:00"/>
    <x v="0"/>
    <x v="0"/>
    <x v="2"/>
    <x v="0"/>
    <x v="0"/>
    <x v="0"/>
    <n v="20"/>
    <n v="7"/>
    <x v="12"/>
  </r>
  <r>
    <n v="3283"/>
    <s v="Raul Machado"/>
    <x v="2"/>
    <d v="2024-04-18T00:00:00"/>
    <x v="1"/>
    <x v="2"/>
    <x v="0"/>
    <x v="1"/>
    <x v="1"/>
    <x v="0"/>
    <n v="20"/>
    <n v="10"/>
    <x v="2"/>
  </r>
  <r>
    <n v="3284"/>
    <s v="Sônia Lobo"/>
    <x v="1"/>
    <d v="2024-04-19T00:00:00"/>
    <x v="0"/>
    <x v="1"/>
    <x v="1"/>
    <x v="1"/>
    <x v="1"/>
    <x v="1"/>
    <n v="0"/>
    <n v="0"/>
    <x v="1"/>
  </r>
  <r>
    <n v="3285"/>
    <s v="Tiago Ramos"/>
    <x v="0"/>
    <d v="2024-04-20T00:00:00"/>
    <x v="1"/>
    <x v="0"/>
    <x v="0"/>
    <x v="0"/>
    <x v="0"/>
    <x v="0"/>
    <n v="20"/>
    <n v="20"/>
    <x v="8"/>
  </r>
  <r>
    <n v="3286"/>
    <s v="Ugo Pires"/>
    <x v="2"/>
    <d v="2024-04-21T00:00:00"/>
    <x v="0"/>
    <x v="2"/>
    <x v="2"/>
    <x v="1"/>
    <x v="1"/>
    <x v="0"/>
    <n v="20"/>
    <n v="15"/>
    <x v="7"/>
  </r>
  <r>
    <n v="3287"/>
    <s v="Valéria Nobre"/>
    <x v="1"/>
    <d v="2024-04-22T00:00:00"/>
    <x v="1"/>
    <x v="1"/>
    <x v="0"/>
    <x v="1"/>
    <x v="1"/>
    <x v="1"/>
    <n v="0"/>
    <n v="1"/>
    <x v="4"/>
  </r>
  <r>
    <n v="3288"/>
    <s v="William Siqueira"/>
    <x v="0"/>
    <d v="2024-04-23T00:00:00"/>
    <x v="0"/>
    <x v="0"/>
    <x v="1"/>
    <x v="0"/>
    <x v="0"/>
    <x v="0"/>
    <n v="20"/>
    <n v="3"/>
    <x v="3"/>
  </r>
  <r>
    <n v="3289"/>
    <s v="Xuxa Meneghel"/>
    <x v="2"/>
    <d v="2024-04-24T00:00:00"/>
    <x v="1"/>
    <x v="2"/>
    <x v="0"/>
    <x v="1"/>
    <x v="1"/>
    <x v="0"/>
    <n v="20"/>
    <n v="10"/>
    <x v="2"/>
  </r>
  <r>
    <n v="3290"/>
    <s v="Yara Figueiredo"/>
    <x v="1"/>
    <d v="2024-04-25T00:00:00"/>
    <x v="0"/>
    <x v="1"/>
    <x v="2"/>
    <x v="1"/>
    <x v="1"/>
    <x v="1"/>
    <n v="0"/>
    <n v="0"/>
    <x v="1"/>
  </r>
  <r>
    <n v="3291"/>
    <s v="Zacarias Alves"/>
    <x v="0"/>
    <d v="2024-04-26T00:00:00"/>
    <x v="1"/>
    <x v="0"/>
    <x v="0"/>
    <x v="0"/>
    <x v="0"/>
    <x v="0"/>
    <n v="20"/>
    <n v="5"/>
    <x v="0"/>
  </r>
  <r>
    <n v="3292"/>
    <s v="Amanda Bynes"/>
    <x v="2"/>
    <d v="2024-04-27T00:00:00"/>
    <x v="0"/>
    <x v="2"/>
    <x v="1"/>
    <x v="1"/>
    <x v="1"/>
    <x v="0"/>
    <n v="20"/>
    <n v="15"/>
    <x v="7"/>
  </r>
  <r>
    <n v="3293"/>
    <s v="Bruno Mars"/>
    <x v="1"/>
    <d v="2024-04-28T00:00:00"/>
    <x v="1"/>
    <x v="1"/>
    <x v="0"/>
    <x v="1"/>
    <x v="1"/>
    <x v="1"/>
    <n v="0"/>
    <n v="1"/>
    <x v="4"/>
  </r>
  <r>
    <n v="3294"/>
    <s v="Carla Bruni"/>
    <x v="0"/>
    <d v="2024-04-29T00:00:00"/>
    <x v="0"/>
    <x v="0"/>
    <x v="2"/>
    <x v="0"/>
    <x v="0"/>
    <x v="0"/>
    <n v="20"/>
    <n v="20"/>
    <x v="8"/>
  </r>
  <r>
    <n v="3295"/>
    <s v="Diego Maradona"/>
    <x v="2"/>
    <d v="2024-04-30T00:00:00"/>
    <x v="1"/>
    <x v="2"/>
    <x v="0"/>
    <x v="1"/>
    <x v="1"/>
    <x v="0"/>
    <n v="20"/>
    <n v="5"/>
    <x v="13"/>
  </r>
  <r>
    <n v="3296"/>
    <s v="Estela Marques"/>
    <x v="1"/>
    <d v="2024-05-01T00:00:00"/>
    <x v="1"/>
    <x v="1"/>
    <x v="0"/>
    <x v="1"/>
    <x v="1"/>
    <x v="1"/>
    <n v="0"/>
    <n v="0"/>
    <x v="1"/>
  </r>
  <r>
    <n v="3297"/>
    <s v="Fábio Nobre"/>
    <x v="0"/>
    <d v="2024-05-02T00:00:00"/>
    <x v="0"/>
    <x v="0"/>
    <x v="2"/>
    <x v="0"/>
    <x v="0"/>
    <x v="0"/>
    <n v="20"/>
    <n v="7"/>
    <x v="12"/>
  </r>
  <r>
    <n v="3298"/>
    <s v="Gabriel Oliveira"/>
    <x v="2"/>
    <d v="2024-05-03T00:00:00"/>
    <x v="1"/>
    <x v="2"/>
    <x v="1"/>
    <x v="1"/>
    <x v="1"/>
    <x v="0"/>
    <n v="20"/>
    <n v="10"/>
    <x v="2"/>
  </r>
  <r>
    <n v="3299"/>
    <s v="Helena Santos"/>
    <x v="1"/>
    <d v="2024-05-04T00:00:00"/>
    <x v="0"/>
    <x v="1"/>
    <x v="2"/>
    <x v="1"/>
    <x v="1"/>
    <x v="1"/>
    <n v="0"/>
    <n v="1"/>
    <x v="4"/>
  </r>
  <r>
    <n v="3300"/>
    <s v="Ivan Carvalho"/>
    <x v="0"/>
    <d v="2024-05-05T00:00:00"/>
    <x v="1"/>
    <x v="0"/>
    <x v="0"/>
    <x v="0"/>
    <x v="0"/>
    <x v="0"/>
    <n v="20"/>
    <n v="15"/>
    <x v="14"/>
  </r>
  <r>
    <n v="3301"/>
    <s v="Júlia Ferreira"/>
    <x v="2"/>
    <d v="2024-05-06T00:00:00"/>
    <x v="0"/>
    <x v="2"/>
    <x v="0"/>
    <x v="1"/>
    <x v="1"/>
    <x v="0"/>
    <n v="20"/>
    <n v="5"/>
    <x v="13"/>
  </r>
  <r>
    <n v="3302"/>
    <s v="Karla Alves"/>
    <x v="1"/>
    <d v="2024-05-07T00:00:00"/>
    <x v="1"/>
    <x v="1"/>
    <x v="1"/>
    <x v="1"/>
    <x v="1"/>
    <x v="1"/>
    <n v="0"/>
    <n v="0"/>
    <x v="1"/>
  </r>
  <r>
    <n v="3303"/>
    <s v="Lucas Mendes"/>
    <x v="0"/>
    <d v="2024-05-08T00:00:00"/>
    <x v="0"/>
    <x v="0"/>
    <x v="2"/>
    <x v="0"/>
    <x v="0"/>
    <x v="0"/>
    <n v="20"/>
    <n v="20"/>
    <x v="8"/>
  </r>
  <r>
    <n v="3304"/>
    <s v="Mônica Gomes"/>
    <x v="2"/>
    <d v="2024-05-09T00:00:00"/>
    <x v="1"/>
    <x v="2"/>
    <x v="2"/>
    <x v="1"/>
    <x v="1"/>
    <x v="0"/>
    <n v="20"/>
    <n v="12"/>
    <x v="10"/>
  </r>
  <r>
    <n v="3305"/>
    <s v="Norberto Queiroz"/>
    <x v="1"/>
    <d v="2024-05-10T00:00:00"/>
    <x v="0"/>
    <x v="1"/>
    <x v="0"/>
    <x v="1"/>
    <x v="1"/>
    <x v="1"/>
    <n v="0"/>
    <n v="2"/>
    <x v="11"/>
  </r>
  <r>
    <n v="3306"/>
    <s v="Otávio Barros"/>
    <x v="0"/>
    <d v="2024-05-11T00:00:00"/>
    <x v="1"/>
    <x v="0"/>
    <x v="1"/>
    <x v="0"/>
    <x v="0"/>
    <x v="0"/>
    <n v="20"/>
    <n v="5"/>
    <x v="0"/>
  </r>
  <r>
    <n v="3307"/>
    <s v="Paula Vieira"/>
    <x v="2"/>
    <d v="2024-05-12T00:00:00"/>
    <x v="0"/>
    <x v="2"/>
    <x v="0"/>
    <x v="1"/>
    <x v="1"/>
    <x v="0"/>
    <n v="20"/>
    <n v="10"/>
    <x v="2"/>
  </r>
  <r>
    <n v="3308"/>
    <s v="Quentin Ramos"/>
    <x v="1"/>
    <d v="2024-05-13T00:00:00"/>
    <x v="1"/>
    <x v="1"/>
    <x v="2"/>
    <x v="1"/>
    <x v="1"/>
    <x v="1"/>
    <n v="0"/>
    <n v="0"/>
    <x v="1"/>
  </r>
  <r>
    <n v="3309"/>
    <s v="Raquel Novaes"/>
    <x v="0"/>
    <d v="2024-05-14T00:00:00"/>
    <x v="0"/>
    <x v="0"/>
    <x v="0"/>
    <x v="0"/>
    <x v="0"/>
    <x v="0"/>
    <n v="20"/>
    <n v="3"/>
    <x v="3"/>
  </r>
  <r>
    <n v="3310"/>
    <s v="Samantha Lopes"/>
    <x v="2"/>
    <d v="2024-05-15T00:00:00"/>
    <x v="1"/>
    <x v="2"/>
    <x v="1"/>
    <x v="1"/>
    <x v="1"/>
    <x v="0"/>
    <n v="20"/>
    <n v="15"/>
    <x v="7"/>
  </r>
  <r>
    <n v="3311"/>
    <s v="Tiago Martins"/>
    <x v="1"/>
    <d v="2024-05-16T00:00:00"/>
    <x v="0"/>
    <x v="1"/>
    <x v="0"/>
    <x v="1"/>
    <x v="1"/>
    <x v="1"/>
    <n v="0"/>
    <n v="1"/>
    <x v="4"/>
  </r>
  <r>
    <n v="3312"/>
    <s v="Ulysses Guimarães"/>
    <x v="0"/>
    <d v="2024-05-17T00:00:00"/>
    <x v="1"/>
    <x v="0"/>
    <x v="2"/>
    <x v="0"/>
    <x v="0"/>
    <x v="0"/>
    <n v="20"/>
    <n v="7"/>
    <x v="12"/>
  </r>
  <r>
    <n v="3313"/>
    <s v="Vanessa Silva"/>
    <x v="2"/>
    <d v="2024-05-18T00:00:00"/>
    <x v="0"/>
    <x v="2"/>
    <x v="0"/>
    <x v="1"/>
    <x v="1"/>
    <x v="0"/>
    <n v="20"/>
    <n v="10"/>
    <x v="2"/>
  </r>
  <r>
    <n v="3314"/>
    <s v="William Carneiro"/>
    <x v="1"/>
    <d v="2024-05-19T00:00:00"/>
    <x v="1"/>
    <x v="1"/>
    <x v="1"/>
    <x v="1"/>
    <x v="1"/>
    <x v="1"/>
    <n v="0"/>
    <n v="0"/>
    <x v="1"/>
  </r>
  <r>
    <n v="3315"/>
    <s v="Ximena Rocha"/>
    <x v="0"/>
    <d v="2024-05-20T00:00:00"/>
    <x v="0"/>
    <x v="0"/>
    <x v="0"/>
    <x v="0"/>
    <x v="0"/>
    <x v="0"/>
    <n v="20"/>
    <n v="20"/>
    <x v="8"/>
  </r>
  <r>
    <n v="3316"/>
    <s v="Yasmin Figueiredo"/>
    <x v="2"/>
    <d v="2024-05-21T00:00:00"/>
    <x v="1"/>
    <x v="2"/>
    <x v="2"/>
    <x v="1"/>
    <x v="1"/>
    <x v="0"/>
    <n v="20"/>
    <n v="15"/>
    <x v="7"/>
  </r>
  <r>
    <n v="3317"/>
    <s v="Zara Cunha"/>
    <x v="1"/>
    <d v="2024-05-22T00:00:00"/>
    <x v="0"/>
    <x v="1"/>
    <x v="0"/>
    <x v="1"/>
    <x v="1"/>
    <x v="1"/>
    <n v="0"/>
    <n v="1"/>
    <x v="4"/>
  </r>
  <r>
    <n v="3318"/>
    <s v="Alan Teixeira"/>
    <x v="0"/>
    <d v="2024-05-23T00:00:00"/>
    <x v="1"/>
    <x v="0"/>
    <x v="1"/>
    <x v="0"/>
    <x v="0"/>
    <x v="0"/>
    <n v="20"/>
    <n v="3"/>
    <x v="3"/>
  </r>
  <r>
    <n v="3319"/>
    <s v="Bárbara Oliveira"/>
    <x v="2"/>
    <d v="2024-05-24T00:00:00"/>
    <x v="0"/>
    <x v="2"/>
    <x v="0"/>
    <x v="1"/>
    <x v="1"/>
    <x v="0"/>
    <n v="20"/>
    <n v="10"/>
    <x v="2"/>
  </r>
  <r>
    <n v="3320"/>
    <s v="Carlos Junqueira"/>
    <x v="1"/>
    <d v="2024-05-25T00:00:00"/>
    <x v="1"/>
    <x v="1"/>
    <x v="2"/>
    <x v="1"/>
    <x v="1"/>
    <x v="1"/>
    <n v="0"/>
    <n v="0"/>
    <x v="1"/>
  </r>
  <r>
    <n v="3321"/>
    <s v="Daniela Moura"/>
    <x v="0"/>
    <d v="2024-05-26T00:00:00"/>
    <x v="0"/>
    <x v="0"/>
    <x v="0"/>
    <x v="0"/>
    <x v="0"/>
    <x v="0"/>
    <n v="20"/>
    <n v="5"/>
    <x v="0"/>
  </r>
  <r>
    <n v="3322"/>
    <s v="Eduardo Lima"/>
    <x v="2"/>
    <d v="2024-05-27T00:00:00"/>
    <x v="1"/>
    <x v="2"/>
    <x v="1"/>
    <x v="1"/>
    <x v="1"/>
    <x v="0"/>
    <n v="20"/>
    <n v="15"/>
    <x v="7"/>
  </r>
  <r>
    <n v="3323"/>
    <s v="Fabiana Araújo"/>
    <x v="1"/>
    <d v="2024-05-28T00:00:00"/>
    <x v="0"/>
    <x v="1"/>
    <x v="0"/>
    <x v="1"/>
    <x v="1"/>
    <x v="1"/>
    <n v="0"/>
    <n v="1"/>
    <x v="4"/>
  </r>
  <r>
    <n v="3324"/>
    <s v="Geraldo Ribeiro"/>
    <x v="0"/>
    <d v="2024-05-29T00:00:00"/>
    <x v="1"/>
    <x v="0"/>
    <x v="2"/>
    <x v="0"/>
    <x v="0"/>
    <x v="0"/>
    <n v="20"/>
    <n v="20"/>
    <x v="8"/>
  </r>
  <r>
    <n v="3325"/>
    <s v="Héctor Vargas"/>
    <x v="2"/>
    <d v="2024-05-30T00:00:00"/>
    <x v="0"/>
    <x v="2"/>
    <x v="2"/>
    <x v="1"/>
    <x v="1"/>
    <x v="0"/>
    <n v="20"/>
    <n v="15"/>
    <x v="7"/>
  </r>
  <r>
    <n v="3326"/>
    <s v="Isabela Fonseca"/>
    <x v="1"/>
    <d v="2024-05-31T00:00:00"/>
    <x v="1"/>
    <x v="1"/>
    <x v="1"/>
    <x v="1"/>
    <x v="1"/>
    <x v="1"/>
    <n v="0"/>
    <n v="0"/>
    <x v="1"/>
  </r>
  <r>
    <n v="3327"/>
    <s v="João Pedro Almeida"/>
    <x v="0"/>
    <d v="2024-06-01T00:00:00"/>
    <x v="0"/>
    <x v="0"/>
    <x v="0"/>
    <x v="0"/>
    <x v="0"/>
    <x v="0"/>
    <n v="20"/>
    <n v="7"/>
    <x v="12"/>
  </r>
  <r>
    <n v="3328"/>
    <s v="Klara Costa"/>
    <x v="2"/>
    <d v="2024-06-02T00:00:00"/>
    <x v="1"/>
    <x v="2"/>
    <x v="1"/>
    <x v="1"/>
    <x v="1"/>
    <x v="0"/>
    <n v="20"/>
    <n v="10"/>
    <x v="2"/>
  </r>
  <r>
    <n v="3329"/>
    <s v="Luciana Mendes"/>
    <x v="1"/>
    <d v="2024-06-03T00:00:00"/>
    <x v="0"/>
    <x v="1"/>
    <x v="2"/>
    <x v="1"/>
    <x v="1"/>
    <x v="1"/>
    <n v="0"/>
    <n v="1"/>
    <x v="4"/>
  </r>
  <r>
    <n v="3330"/>
    <s v="Marcelo Gouveia"/>
    <x v="0"/>
    <d v="2024-06-04T00:00:00"/>
    <x v="1"/>
    <x v="0"/>
    <x v="0"/>
    <x v="0"/>
    <x v="0"/>
    <x v="0"/>
    <n v="20"/>
    <n v="15"/>
    <x v="14"/>
  </r>
  <r>
    <n v="3331"/>
    <s v="Nívea Borges"/>
    <x v="2"/>
    <d v="2024-06-05T00:00:00"/>
    <x v="0"/>
    <x v="2"/>
    <x v="0"/>
    <x v="1"/>
    <x v="1"/>
    <x v="0"/>
    <n v="20"/>
    <n v="5"/>
    <x v="13"/>
  </r>
  <r>
    <n v="3332"/>
    <s v="Oscar Nogueira"/>
    <x v="1"/>
    <d v="2024-06-06T00:00:00"/>
    <x v="1"/>
    <x v="1"/>
    <x v="1"/>
    <x v="1"/>
    <x v="1"/>
    <x v="1"/>
    <n v="0"/>
    <n v="0"/>
    <x v="1"/>
  </r>
  <r>
    <n v="3333"/>
    <s v="Patrícia Alves"/>
    <x v="0"/>
    <d v="2024-06-07T00:00:00"/>
    <x v="0"/>
    <x v="0"/>
    <x v="2"/>
    <x v="0"/>
    <x v="0"/>
    <x v="0"/>
    <n v="20"/>
    <n v="20"/>
    <x v="8"/>
  </r>
  <r>
    <n v="3334"/>
    <s v="Rafaela Silva"/>
    <x v="2"/>
    <d v="2024-06-08T00:00:00"/>
    <x v="1"/>
    <x v="2"/>
    <x v="2"/>
    <x v="1"/>
    <x v="1"/>
    <x v="0"/>
    <n v="20"/>
    <n v="12"/>
    <x v="10"/>
  </r>
  <r>
    <n v="3335"/>
    <s v="Samantha Moraes"/>
    <x v="1"/>
    <d v="2024-06-09T00:00:00"/>
    <x v="0"/>
    <x v="1"/>
    <x v="0"/>
    <x v="1"/>
    <x v="1"/>
    <x v="1"/>
    <n v="0"/>
    <n v="2"/>
    <x v="11"/>
  </r>
  <r>
    <n v="3336"/>
    <s v="Tatiana Rocha"/>
    <x v="1"/>
    <d v="2024-06-10T00:00:00"/>
    <x v="0"/>
    <x v="1"/>
    <x v="0"/>
    <x v="1"/>
    <x v="1"/>
    <x v="1"/>
    <n v="0"/>
    <n v="0"/>
    <x v="1"/>
  </r>
  <r>
    <n v="3337"/>
    <s v="Ulisses Tavares"/>
    <x v="0"/>
    <d v="2024-06-11T00:00:00"/>
    <x v="1"/>
    <x v="0"/>
    <x v="2"/>
    <x v="0"/>
    <x v="0"/>
    <x v="0"/>
    <n v="20"/>
    <n v="7"/>
    <x v="12"/>
  </r>
  <r>
    <n v="3338"/>
    <s v="Víctor Lemos"/>
    <x v="2"/>
    <d v="2024-06-12T00:00:00"/>
    <x v="0"/>
    <x v="2"/>
    <x v="1"/>
    <x v="1"/>
    <x v="1"/>
    <x v="0"/>
    <n v="20"/>
    <n v="10"/>
    <x v="2"/>
  </r>
  <r>
    <n v="3339"/>
    <s v="Wilma Barros"/>
    <x v="1"/>
    <d v="2024-06-13T00:00:00"/>
    <x v="1"/>
    <x v="1"/>
    <x v="2"/>
    <x v="1"/>
    <x v="1"/>
    <x v="1"/>
    <n v="0"/>
    <n v="1"/>
    <x v="4"/>
  </r>
  <r>
    <n v="3340"/>
    <s v="Xavier Nascimento"/>
    <x v="0"/>
    <d v="2024-06-14T00:00:00"/>
    <x v="0"/>
    <x v="0"/>
    <x v="0"/>
    <x v="0"/>
    <x v="0"/>
    <x v="0"/>
    <n v="20"/>
    <n v="15"/>
    <x v="14"/>
  </r>
  <r>
    <n v="3341"/>
    <s v="Yago Pereira"/>
    <x v="2"/>
    <d v="2024-06-15T00:00:00"/>
    <x v="1"/>
    <x v="2"/>
    <x v="0"/>
    <x v="1"/>
    <x v="1"/>
    <x v="0"/>
    <n v="20"/>
    <n v="5"/>
    <x v="13"/>
  </r>
  <r>
    <n v="3342"/>
    <s v="Zilda Ferreira"/>
    <x v="1"/>
    <d v="2024-06-16T00:00:00"/>
    <x v="0"/>
    <x v="1"/>
    <x v="1"/>
    <x v="1"/>
    <x v="1"/>
    <x v="1"/>
    <n v="0"/>
    <n v="0"/>
    <x v="1"/>
  </r>
  <r>
    <n v="3343"/>
    <s v="Amanda Lopes"/>
    <x v="0"/>
    <d v="2024-06-17T00:00:00"/>
    <x v="1"/>
    <x v="0"/>
    <x v="2"/>
    <x v="0"/>
    <x v="0"/>
    <x v="0"/>
    <n v="20"/>
    <n v="20"/>
    <x v="8"/>
  </r>
  <r>
    <n v="3344"/>
    <s v="Bruno Miranda"/>
    <x v="2"/>
    <d v="2024-06-18T00:00:00"/>
    <x v="0"/>
    <x v="2"/>
    <x v="2"/>
    <x v="1"/>
    <x v="1"/>
    <x v="0"/>
    <n v="20"/>
    <n v="12"/>
    <x v="10"/>
  </r>
  <r>
    <n v="3345"/>
    <s v="Célia Torres"/>
    <x v="1"/>
    <d v="2024-06-19T00:00:00"/>
    <x v="1"/>
    <x v="1"/>
    <x v="0"/>
    <x v="1"/>
    <x v="1"/>
    <x v="1"/>
    <n v="0"/>
    <n v="2"/>
    <x v="11"/>
  </r>
  <r>
    <n v="3346"/>
    <s v="Diogo Souza"/>
    <x v="0"/>
    <d v="2024-06-20T00:00:00"/>
    <x v="0"/>
    <x v="0"/>
    <x v="1"/>
    <x v="0"/>
    <x v="0"/>
    <x v="0"/>
    <n v="20"/>
    <n v="5"/>
    <x v="0"/>
  </r>
  <r>
    <n v="3347"/>
    <s v="Elisa Castro"/>
    <x v="2"/>
    <d v="2024-06-21T00:00:00"/>
    <x v="1"/>
    <x v="2"/>
    <x v="0"/>
    <x v="1"/>
    <x v="1"/>
    <x v="0"/>
    <n v="20"/>
    <n v="10"/>
    <x v="2"/>
  </r>
  <r>
    <n v="3348"/>
    <s v="Fátima Lima"/>
    <x v="1"/>
    <d v="2024-06-22T00:00:00"/>
    <x v="0"/>
    <x v="1"/>
    <x v="2"/>
    <x v="1"/>
    <x v="1"/>
    <x v="1"/>
    <n v="0"/>
    <n v="0"/>
    <x v="1"/>
  </r>
  <r>
    <n v="3349"/>
    <s v="Geraldo Ribeiro"/>
    <x v="0"/>
    <d v="2024-06-23T00:00:00"/>
    <x v="1"/>
    <x v="0"/>
    <x v="0"/>
    <x v="0"/>
    <x v="0"/>
    <x v="0"/>
    <n v="20"/>
    <n v="3"/>
    <x v="3"/>
  </r>
  <r>
    <n v="3350"/>
    <s v="Hélio Martins"/>
    <x v="2"/>
    <d v="2024-06-24T00:00:00"/>
    <x v="0"/>
    <x v="2"/>
    <x v="1"/>
    <x v="1"/>
    <x v="1"/>
    <x v="0"/>
    <n v="20"/>
    <n v="15"/>
    <x v="7"/>
  </r>
  <r>
    <n v="3351"/>
    <s v="Íris Santos"/>
    <x v="1"/>
    <d v="2024-06-25T00:00:00"/>
    <x v="1"/>
    <x v="1"/>
    <x v="0"/>
    <x v="1"/>
    <x v="1"/>
    <x v="1"/>
    <n v="0"/>
    <n v="1"/>
    <x v="4"/>
  </r>
  <r>
    <n v="3352"/>
    <s v="João Marcelo"/>
    <x v="0"/>
    <d v="2024-06-26T00:00:00"/>
    <x v="0"/>
    <x v="0"/>
    <x v="2"/>
    <x v="0"/>
    <x v="0"/>
    <x v="0"/>
    <n v="20"/>
    <n v="7"/>
    <x v="12"/>
  </r>
  <r>
    <n v="3353"/>
    <s v="Larissa Gomes"/>
    <x v="2"/>
    <d v="2024-06-27T00:00:00"/>
    <x v="1"/>
    <x v="2"/>
    <x v="0"/>
    <x v="1"/>
    <x v="1"/>
    <x v="0"/>
    <n v="20"/>
    <n v="10"/>
    <x v="2"/>
  </r>
  <r>
    <n v="3354"/>
    <s v="Márcio Silva"/>
    <x v="1"/>
    <d v="2024-06-28T00:00:00"/>
    <x v="0"/>
    <x v="1"/>
    <x v="1"/>
    <x v="1"/>
    <x v="1"/>
    <x v="1"/>
    <n v="0"/>
    <n v="0"/>
    <x v="1"/>
  </r>
  <r>
    <n v="3355"/>
    <s v="Nadia Costa"/>
    <x v="0"/>
    <d v="2024-06-29T00:00:00"/>
    <x v="1"/>
    <x v="0"/>
    <x v="0"/>
    <x v="0"/>
    <x v="0"/>
    <x v="0"/>
    <n v="20"/>
    <n v="20"/>
    <x v="8"/>
  </r>
  <r>
    <n v="3356"/>
    <s v="Oscar Almeida"/>
    <x v="2"/>
    <d v="2024-06-30T00:00:00"/>
    <x v="0"/>
    <x v="2"/>
    <x v="2"/>
    <x v="1"/>
    <x v="1"/>
    <x v="0"/>
    <n v="20"/>
    <n v="15"/>
    <x v="7"/>
  </r>
  <r>
    <n v="3357"/>
    <s v="Patricia Soares"/>
    <x v="1"/>
    <d v="2024-07-01T00:00:00"/>
    <x v="1"/>
    <x v="1"/>
    <x v="0"/>
    <x v="1"/>
    <x v="1"/>
    <x v="1"/>
    <n v="0"/>
    <n v="1"/>
    <x v="4"/>
  </r>
  <r>
    <n v="3358"/>
    <s v="Quênia Barros"/>
    <x v="0"/>
    <d v="2024-07-02T00:00:00"/>
    <x v="0"/>
    <x v="0"/>
    <x v="1"/>
    <x v="0"/>
    <x v="0"/>
    <x v="0"/>
    <n v="20"/>
    <n v="3"/>
    <x v="3"/>
  </r>
  <r>
    <n v="3359"/>
    <s v="Rafael Torres"/>
    <x v="2"/>
    <d v="2024-07-03T00:00:00"/>
    <x v="1"/>
    <x v="2"/>
    <x v="0"/>
    <x v="1"/>
    <x v="1"/>
    <x v="0"/>
    <n v="20"/>
    <n v="10"/>
    <x v="2"/>
  </r>
  <r>
    <n v="3360"/>
    <s v="Silvia Nascimento"/>
    <x v="1"/>
    <d v="2024-07-04T00:00:00"/>
    <x v="0"/>
    <x v="1"/>
    <x v="2"/>
    <x v="1"/>
    <x v="1"/>
    <x v="1"/>
    <n v="0"/>
    <n v="0"/>
    <x v="1"/>
  </r>
  <r>
    <n v="3361"/>
    <s v="Tiago Mendes"/>
    <x v="0"/>
    <d v="2024-07-05T00:00:00"/>
    <x v="1"/>
    <x v="0"/>
    <x v="0"/>
    <x v="0"/>
    <x v="0"/>
    <x v="0"/>
    <n v="20"/>
    <n v="15"/>
    <x v="14"/>
  </r>
  <r>
    <n v="3362"/>
    <s v="Ursula Silva"/>
    <x v="2"/>
    <d v="2024-07-06T00:00:00"/>
    <x v="0"/>
    <x v="2"/>
    <x v="1"/>
    <x v="1"/>
    <x v="1"/>
    <x v="0"/>
    <n v="20"/>
    <n v="15"/>
    <x v="7"/>
  </r>
  <r>
    <n v="3363"/>
    <s v="Vanessa Moraes"/>
    <x v="1"/>
    <d v="2024-07-07T00:00:00"/>
    <x v="1"/>
    <x v="1"/>
    <x v="0"/>
    <x v="1"/>
    <x v="1"/>
    <x v="1"/>
    <n v="0"/>
    <n v="1"/>
    <x v="4"/>
  </r>
  <r>
    <n v="3364"/>
    <s v="Waldir Junior"/>
    <x v="0"/>
    <d v="2024-07-08T00:00:00"/>
    <x v="0"/>
    <x v="0"/>
    <x v="2"/>
    <x v="0"/>
    <x v="0"/>
    <x v="0"/>
    <n v="20"/>
    <n v="7"/>
    <x v="12"/>
  </r>
  <r>
    <n v="3365"/>
    <s v="Xavier Lopes"/>
    <x v="2"/>
    <d v="2024-07-09T00:00:00"/>
    <x v="1"/>
    <x v="2"/>
    <x v="0"/>
    <x v="1"/>
    <x v="1"/>
    <x v="0"/>
    <n v="20"/>
    <n v="10"/>
    <x v="2"/>
  </r>
  <r>
    <n v="3366"/>
    <s v="Yolanda Freitas"/>
    <x v="1"/>
    <d v="2024-07-10T00:00:00"/>
    <x v="0"/>
    <x v="1"/>
    <x v="0"/>
    <x v="1"/>
    <x v="1"/>
    <x v="1"/>
    <n v="0"/>
    <n v="0"/>
    <x v="1"/>
  </r>
  <r>
    <n v="3367"/>
    <s v="Zacarias Nunes"/>
    <x v="0"/>
    <d v="2024-07-11T00:00:00"/>
    <x v="1"/>
    <x v="0"/>
    <x v="2"/>
    <x v="0"/>
    <x v="0"/>
    <x v="0"/>
    <n v="20"/>
    <n v="7"/>
    <x v="12"/>
  </r>
  <r>
    <n v="3368"/>
    <s v="Ana Clara Barreto"/>
    <x v="2"/>
    <d v="2024-07-12T00:00:00"/>
    <x v="0"/>
    <x v="2"/>
    <x v="1"/>
    <x v="1"/>
    <x v="1"/>
    <x v="0"/>
    <n v="20"/>
    <n v="10"/>
    <x v="2"/>
  </r>
  <r>
    <n v="3369"/>
    <s v="Bruno Henrique"/>
    <x v="1"/>
    <d v="2024-07-13T00:00:00"/>
    <x v="1"/>
    <x v="1"/>
    <x v="2"/>
    <x v="1"/>
    <x v="1"/>
    <x v="1"/>
    <n v="0"/>
    <n v="1"/>
    <x v="4"/>
  </r>
  <r>
    <n v="3370"/>
    <s v="Carlos Eduardo"/>
    <x v="0"/>
    <d v="2024-07-14T00:00:00"/>
    <x v="0"/>
    <x v="0"/>
    <x v="0"/>
    <x v="0"/>
    <x v="0"/>
    <x v="0"/>
    <n v="20"/>
    <n v="15"/>
    <x v="14"/>
  </r>
  <r>
    <n v="3371"/>
    <s v="Débora Lima"/>
    <x v="2"/>
    <d v="2024-07-15T00:00:00"/>
    <x v="1"/>
    <x v="2"/>
    <x v="0"/>
    <x v="1"/>
    <x v="1"/>
    <x v="0"/>
    <n v="20"/>
    <n v="5"/>
    <x v="13"/>
  </r>
  <r>
    <n v="3372"/>
    <s v="Elisa Neves"/>
    <x v="1"/>
    <d v="2024-07-16T00:00:00"/>
    <x v="0"/>
    <x v="1"/>
    <x v="1"/>
    <x v="1"/>
    <x v="1"/>
    <x v="1"/>
    <n v="0"/>
    <n v="0"/>
    <x v="1"/>
  </r>
  <r>
    <n v="3373"/>
    <s v="Fabiano Gomes"/>
    <x v="0"/>
    <d v="2024-07-17T00:00:00"/>
    <x v="1"/>
    <x v="0"/>
    <x v="2"/>
    <x v="0"/>
    <x v="0"/>
    <x v="0"/>
    <n v="20"/>
    <n v="20"/>
    <x v="8"/>
  </r>
  <r>
    <n v="3374"/>
    <s v="Gisele Oliveira"/>
    <x v="2"/>
    <d v="2024-07-18T00:00:00"/>
    <x v="0"/>
    <x v="2"/>
    <x v="2"/>
    <x v="1"/>
    <x v="1"/>
    <x v="0"/>
    <n v="20"/>
    <n v="12"/>
    <x v="10"/>
  </r>
  <r>
    <n v="3375"/>
    <s v="Héctor Silva"/>
    <x v="1"/>
    <d v="2024-07-19T00:00:00"/>
    <x v="1"/>
    <x v="1"/>
    <x v="0"/>
    <x v="1"/>
    <x v="1"/>
    <x v="1"/>
    <n v="0"/>
    <n v="2"/>
    <x v="11"/>
  </r>
  <r>
    <n v="3376"/>
    <s v="Igor Martins"/>
    <x v="0"/>
    <d v="2024-07-20T00:00:00"/>
    <x v="0"/>
    <x v="0"/>
    <x v="1"/>
    <x v="0"/>
    <x v="0"/>
    <x v="0"/>
    <n v="20"/>
    <n v="5"/>
    <x v="0"/>
  </r>
  <r>
    <n v="3377"/>
    <s v="Joana Figueiredo"/>
    <x v="2"/>
    <d v="2024-07-21T00:00:00"/>
    <x v="1"/>
    <x v="2"/>
    <x v="0"/>
    <x v="1"/>
    <x v="1"/>
    <x v="0"/>
    <n v="20"/>
    <n v="10"/>
    <x v="2"/>
  </r>
  <r>
    <n v="3378"/>
    <s v="Kleber Machado"/>
    <x v="1"/>
    <d v="2024-07-22T00:00:00"/>
    <x v="0"/>
    <x v="1"/>
    <x v="2"/>
    <x v="1"/>
    <x v="1"/>
    <x v="1"/>
    <n v="0"/>
    <n v="0"/>
    <x v="1"/>
  </r>
  <r>
    <n v="3379"/>
    <s v="Luciana Santos"/>
    <x v="0"/>
    <d v="2024-07-23T00:00:00"/>
    <x v="1"/>
    <x v="0"/>
    <x v="0"/>
    <x v="0"/>
    <x v="0"/>
    <x v="0"/>
    <n v="20"/>
    <n v="3"/>
    <x v="3"/>
  </r>
  <r>
    <n v="3380"/>
    <s v="Marcos Teixeira"/>
    <x v="2"/>
    <d v="2024-07-24T00:00:00"/>
    <x v="0"/>
    <x v="2"/>
    <x v="1"/>
    <x v="1"/>
    <x v="1"/>
    <x v="0"/>
    <n v="20"/>
    <n v="15"/>
    <x v="7"/>
  </r>
  <r>
    <n v="3381"/>
    <s v="Natalia Costa"/>
    <x v="1"/>
    <d v="2024-07-25T00:00:00"/>
    <x v="1"/>
    <x v="1"/>
    <x v="0"/>
    <x v="1"/>
    <x v="1"/>
    <x v="1"/>
    <n v="0"/>
    <n v="1"/>
    <x v="4"/>
  </r>
  <r>
    <n v="3382"/>
    <s v="Oscar Ribeiro"/>
    <x v="0"/>
    <d v="2024-07-26T00:00:00"/>
    <x v="0"/>
    <x v="0"/>
    <x v="2"/>
    <x v="0"/>
    <x v="0"/>
    <x v="0"/>
    <n v="20"/>
    <n v="7"/>
    <x v="12"/>
  </r>
  <r>
    <n v="3383"/>
    <s v="Patricia Almeida"/>
    <x v="2"/>
    <d v="2024-07-27T00:00:00"/>
    <x v="1"/>
    <x v="2"/>
    <x v="0"/>
    <x v="1"/>
    <x v="1"/>
    <x v="0"/>
    <n v="20"/>
    <n v="10"/>
    <x v="2"/>
  </r>
  <r>
    <n v="3384"/>
    <s v="Quirino Junior"/>
    <x v="1"/>
    <d v="2024-07-28T00:00:00"/>
    <x v="0"/>
    <x v="1"/>
    <x v="1"/>
    <x v="1"/>
    <x v="1"/>
    <x v="1"/>
    <n v="0"/>
    <n v="0"/>
    <x v="1"/>
  </r>
  <r>
    <n v="3385"/>
    <s v="Renata Machado"/>
    <x v="0"/>
    <d v="2024-07-29T00:00:00"/>
    <x v="1"/>
    <x v="0"/>
    <x v="0"/>
    <x v="0"/>
    <x v="0"/>
    <x v="0"/>
    <n v="20"/>
    <n v="20"/>
    <x v="8"/>
  </r>
  <r>
    <n v="3386"/>
    <s v="Sônia Alves"/>
    <x v="2"/>
    <d v="2024-07-30T00:00:00"/>
    <x v="0"/>
    <x v="2"/>
    <x v="2"/>
    <x v="1"/>
    <x v="1"/>
    <x v="0"/>
    <n v="20"/>
    <n v="15"/>
    <x v="7"/>
  </r>
  <r>
    <n v="3387"/>
    <s v="Tiago Nunes"/>
    <x v="1"/>
    <d v="2024-07-31T00:00:00"/>
    <x v="1"/>
    <x v="1"/>
    <x v="0"/>
    <x v="1"/>
    <x v="1"/>
    <x v="1"/>
    <n v="0"/>
    <n v="1"/>
    <x v="4"/>
  </r>
  <r>
    <n v="3388"/>
    <s v="Ulysses Pereira"/>
    <x v="0"/>
    <d v="2024-08-01T00:00:00"/>
    <x v="0"/>
    <x v="0"/>
    <x v="1"/>
    <x v="0"/>
    <x v="0"/>
    <x v="0"/>
    <n v="20"/>
    <n v="3"/>
    <x v="3"/>
  </r>
  <r>
    <n v="3389"/>
    <s v="Vanessa Lima"/>
    <x v="2"/>
    <d v="2024-08-02T00:00:00"/>
    <x v="1"/>
    <x v="2"/>
    <x v="0"/>
    <x v="1"/>
    <x v="1"/>
    <x v="0"/>
    <n v="20"/>
    <n v="10"/>
    <x v="2"/>
  </r>
  <r>
    <n v="3390"/>
    <s v="Wagner Santos"/>
    <x v="1"/>
    <d v="2024-08-03T00:00:00"/>
    <x v="0"/>
    <x v="1"/>
    <x v="2"/>
    <x v="1"/>
    <x v="1"/>
    <x v="1"/>
    <n v="0"/>
    <n v="0"/>
    <x v="1"/>
  </r>
  <r>
    <n v="3391"/>
    <s v="Xuxa Meneghel"/>
    <x v="0"/>
    <d v="2024-08-04T00:00:00"/>
    <x v="1"/>
    <x v="0"/>
    <x v="0"/>
    <x v="0"/>
    <x v="0"/>
    <x v="0"/>
    <n v="20"/>
    <n v="15"/>
    <x v="14"/>
  </r>
  <r>
    <n v="3392"/>
    <s v="Yasmin Silva"/>
    <x v="2"/>
    <d v="2024-08-05T00:00:00"/>
    <x v="0"/>
    <x v="2"/>
    <x v="1"/>
    <x v="1"/>
    <x v="1"/>
    <x v="0"/>
    <n v="20"/>
    <n v="15"/>
    <x v="7"/>
  </r>
  <r>
    <n v="3393"/>
    <s v="Zacarias de Souza"/>
    <x v="1"/>
    <d v="2024-08-06T00:00:00"/>
    <x v="1"/>
    <x v="1"/>
    <x v="0"/>
    <x v="1"/>
    <x v="1"/>
    <x v="1"/>
    <n v="0"/>
    <n v="1"/>
    <x v="4"/>
  </r>
  <r>
    <n v="3394"/>
    <s v="André Lima"/>
    <x v="0"/>
    <d v="2024-08-07T00:00:00"/>
    <x v="0"/>
    <x v="0"/>
    <x v="2"/>
    <x v="0"/>
    <x v="0"/>
    <x v="0"/>
    <n v="20"/>
    <n v="7"/>
    <x v="12"/>
  </r>
  <r>
    <n v="3395"/>
    <s v="Bianca Freitas"/>
    <x v="2"/>
    <d v="2024-08-08T00:00:00"/>
    <x v="1"/>
    <x v="2"/>
    <x v="0"/>
    <x v="1"/>
    <x v="1"/>
    <x v="0"/>
    <n v="20"/>
    <n v="10"/>
    <x v="2"/>
  </r>
  <r>
    <n v="3396"/>
    <s v="Caio Mendes"/>
    <x v="1"/>
    <d v="2024-08-09T00:00:00"/>
    <x v="0"/>
    <x v="1"/>
    <x v="1"/>
    <x v="1"/>
    <x v="1"/>
    <x v="1"/>
    <n v="0"/>
    <n v="0"/>
    <x v="1"/>
  </r>
  <r>
    <n v="3397"/>
    <s v="Daniela Moura"/>
    <x v="0"/>
    <d v="2024-08-10T00:00:00"/>
    <x v="1"/>
    <x v="0"/>
    <x v="0"/>
    <x v="0"/>
    <x v="0"/>
    <x v="0"/>
    <n v="20"/>
    <n v="20"/>
    <x v="8"/>
  </r>
  <r>
    <n v="3398"/>
    <s v="Eduardo Costa"/>
    <x v="2"/>
    <d v="2024-08-11T00:00:00"/>
    <x v="0"/>
    <x v="2"/>
    <x v="2"/>
    <x v="1"/>
    <x v="1"/>
    <x v="0"/>
    <n v="20"/>
    <n v="15"/>
    <x v="7"/>
  </r>
  <r>
    <n v="3399"/>
    <s v="Fernanda Gomes"/>
    <x v="1"/>
    <d v="2024-08-12T00:00:00"/>
    <x v="1"/>
    <x v="1"/>
    <x v="0"/>
    <x v="1"/>
    <x v="1"/>
    <x v="1"/>
    <n v="0"/>
    <n v="1"/>
    <x v="4"/>
  </r>
  <r>
    <n v="3400"/>
    <s v="Guilherme Souza"/>
    <x v="0"/>
    <d v="2024-08-13T00:00:00"/>
    <x v="0"/>
    <x v="0"/>
    <x v="1"/>
    <x v="0"/>
    <x v="0"/>
    <x v="0"/>
    <n v="20"/>
    <n v="5"/>
    <x v="0"/>
  </r>
  <r>
    <n v="3401"/>
    <s v="Helena Ribeiro"/>
    <x v="2"/>
    <d v="2024-08-14T00:00:00"/>
    <x v="1"/>
    <x v="2"/>
    <x v="0"/>
    <x v="1"/>
    <x v="1"/>
    <x v="0"/>
    <n v="20"/>
    <n v="10"/>
    <x v="2"/>
  </r>
  <r>
    <n v="3402"/>
    <s v="Igor Santos"/>
    <x v="1"/>
    <d v="2024-08-15T00:00:00"/>
    <x v="0"/>
    <x v="1"/>
    <x v="2"/>
    <x v="1"/>
    <x v="1"/>
    <x v="1"/>
    <n v="0"/>
    <n v="0"/>
    <x v="1"/>
  </r>
  <r>
    <n v="3403"/>
    <s v="João Carvalho"/>
    <x v="0"/>
    <d v="2024-08-16T00:00:00"/>
    <x v="1"/>
    <x v="0"/>
    <x v="0"/>
    <x v="0"/>
    <x v="0"/>
    <x v="0"/>
    <n v="20"/>
    <n v="3"/>
    <x v="3"/>
  </r>
  <r>
    <n v="3404"/>
    <s v="Klara Fagundes"/>
    <x v="2"/>
    <d v="2024-08-17T00:00:00"/>
    <x v="0"/>
    <x v="2"/>
    <x v="1"/>
    <x v="1"/>
    <x v="1"/>
    <x v="0"/>
    <n v="20"/>
    <n v="15"/>
    <x v="7"/>
  </r>
  <r>
    <n v="3405"/>
    <s v="Lúcia Mendonça"/>
    <x v="1"/>
    <d v="2024-08-18T00:00:00"/>
    <x v="1"/>
    <x v="1"/>
    <x v="0"/>
    <x v="1"/>
    <x v="1"/>
    <x v="1"/>
    <n v="0"/>
    <n v="1"/>
    <x v="4"/>
  </r>
  <r>
    <n v="3406"/>
    <s v="Marcelo Novaes"/>
    <x v="1"/>
    <d v="2024-08-19T00:00:00"/>
    <x v="0"/>
    <x v="1"/>
    <x v="0"/>
    <x v="1"/>
    <x v="1"/>
    <x v="1"/>
    <n v="0"/>
    <n v="0"/>
    <x v="1"/>
  </r>
  <r>
    <n v="3407"/>
    <s v="Nina Pacheco"/>
    <x v="0"/>
    <d v="2024-08-20T00:00:00"/>
    <x v="1"/>
    <x v="0"/>
    <x v="2"/>
    <x v="0"/>
    <x v="0"/>
    <x v="0"/>
    <n v="20"/>
    <n v="7"/>
    <x v="12"/>
  </r>
  <r>
    <n v="3408"/>
    <s v="Olívia Rios"/>
    <x v="2"/>
    <d v="2024-08-21T00:00:00"/>
    <x v="0"/>
    <x v="2"/>
    <x v="1"/>
    <x v="1"/>
    <x v="1"/>
    <x v="0"/>
    <n v="20"/>
    <n v="10"/>
    <x v="2"/>
  </r>
  <r>
    <n v="3409"/>
    <s v="Paulo Quintana"/>
    <x v="1"/>
    <d v="2024-08-22T00:00:00"/>
    <x v="1"/>
    <x v="1"/>
    <x v="2"/>
    <x v="1"/>
    <x v="1"/>
    <x v="1"/>
    <n v="0"/>
    <n v="1"/>
    <x v="4"/>
  </r>
  <r>
    <n v="3410"/>
    <s v="Raquel Domingos"/>
    <x v="0"/>
    <d v="2024-08-23T00:00:00"/>
    <x v="0"/>
    <x v="0"/>
    <x v="0"/>
    <x v="0"/>
    <x v="0"/>
    <x v="0"/>
    <n v="20"/>
    <n v="15"/>
    <x v="14"/>
  </r>
  <r>
    <n v="3411"/>
    <s v="Samuel Viana"/>
    <x v="2"/>
    <d v="2024-08-24T00:00:00"/>
    <x v="1"/>
    <x v="2"/>
    <x v="0"/>
    <x v="1"/>
    <x v="1"/>
    <x v="0"/>
    <n v="20"/>
    <n v="5"/>
    <x v="13"/>
  </r>
  <r>
    <n v="3412"/>
    <s v="Tatiane Rocha"/>
    <x v="1"/>
    <d v="2024-08-25T00:00:00"/>
    <x v="0"/>
    <x v="1"/>
    <x v="1"/>
    <x v="1"/>
    <x v="1"/>
    <x v="1"/>
    <n v="0"/>
    <n v="0"/>
    <x v="1"/>
  </r>
  <r>
    <n v="3413"/>
    <s v="Ulysses Farias"/>
    <x v="0"/>
    <d v="2024-08-26T00:00:00"/>
    <x v="1"/>
    <x v="0"/>
    <x v="2"/>
    <x v="0"/>
    <x v="0"/>
    <x v="0"/>
    <n v="20"/>
    <n v="20"/>
    <x v="8"/>
  </r>
  <r>
    <n v="3414"/>
    <s v="Vanessa Moreira"/>
    <x v="2"/>
    <d v="2024-08-27T00:00:00"/>
    <x v="0"/>
    <x v="2"/>
    <x v="2"/>
    <x v="1"/>
    <x v="1"/>
    <x v="0"/>
    <n v="20"/>
    <n v="12"/>
    <x v="10"/>
  </r>
  <r>
    <n v="3415"/>
    <s v="William Carvalho"/>
    <x v="1"/>
    <d v="2024-08-28T00:00:00"/>
    <x v="1"/>
    <x v="1"/>
    <x v="0"/>
    <x v="1"/>
    <x v="1"/>
    <x v="1"/>
    <n v="0"/>
    <n v="2"/>
    <x v="11"/>
  </r>
  <r>
    <n v="3416"/>
    <s v="Ximena Barros"/>
    <x v="0"/>
    <d v="2024-08-29T00:00:00"/>
    <x v="0"/>
    <x v="0"/>
    <x v="1"/>
    <x v="0"/>
    <x v="0"/>
    <x v="0"/>
    <n v="20"/>
    <n v="5"/>
    <x v="0"/>
  </r>
  <r>
    <n v="3417"/>
    <s v="Yara Machado"/>
    <x v="2"/>
    <d v="2024-08-30T00:00:00"/>
    <x v="1"/>
    <x v="2"/>
    <x v="0"/>
    <x v="1"/>
    <x v="1"/>
    <x v="0"/>
    <n v="20"/>
    <n v="10"/>
    <x v="2"/>
  </r>
  <r>
    <n v="3418"/>
    <s v="Zacarias Costa"/>
    <x v="1"/>
    <d v="2024-08-31T00:00:00"/>
    <x v="0"/>
    <x v="1"/>
    <x v="2"/>
    <x v="1"/>
    <x v="1"/>
    <x v="1"/>
    <n v="0"/>
    <n v="0"/>
    <x v="1"/>
  </r>
  <r>
    <n v="3419"/>
    <s v="André Lopes"/>
    <x v="0"/>
    <d v="2024-09-01T00:00:00"/>
    <x v="1"/>
    <x v="0"/>
    <x v="0"/>
    <x v="0"/>
    <x v="0"/>
    <x v="0"/>
    <n v="20"/>
    <n v="3"/>
    <x v="3"/>
  </r>
  <r>
    <n v="3420"/>
    <s v="Beatriz Souza"/>
    <x v="2"/>
    <d v="2024-09-02T00:00:00"/>
    <x v="0"/>
    <x v="2"/>
    <x v="1"/>
    <x v="1"/>
    <x v="1"/>
    <x v="0"/>
    <n v="20"/>
    <n v="15"/>
    <x v="7"/>
  </r>
  <r>
    <n v="3421"/>
    <s v="Caio Pereira"/>
    <x v="1"/>
    <d v="2024-09-03T00:00:00"/>
    <x v="1"/>
    <x v="1"/>
    <x v="0"/>
    <x v="1"/>
    <x v="1"/>
    <x v="1"/>
    <n v="0"/>
    <n v="1"/>
    <x v="4"/>
  </r>
  <r>
    <n v="3422"/>
    <s v="Daniela Araújo"/>
    <x v="0"/>
    <d v="2024-09-04T00:00:00"/>
    <x v="0"/>
    <x v="0"/>
    <x v="2"/>
    <x v="0"/>
    <x v="0"/>
    <x v="0"/>
    <n v="20"/>
    <n v="7"/>
    <x v="12"/>
  </r>
  <r>
    <n v="3423"/>
    <s v="Eduardo Santos"/>
    <x v="2"/>
    <d v="2024-09-05T00:00:00"/>
    <x v="1"/>
    <x v="2"/>
    <x v="0"/>
    <x v="1"/>
    <x v="1"/>
    <x v="0"/>
    <n v="20"/>
    <n v="10"/>
    <x v="2"/>
  </r>
  <r>
    <n v="3424"/>
    <s v="Fernanda Lima"/>
    <x v="1"/>
    <d v="2024-09-06T00:00:00"/>
    <x v="0"/>
    <x v="1"/>
    <x v="1"/>
    <x v="1"/>
    <x v="1"/>
    <x v="1"/>
    <n v="0"/>
    <n v="0"/>
    <x v="1"/>
  </r>
  <r>
    <n v="3425"/>
    <s v="Gabriel Teixeira"/>
    <x v="0"/>
    <d v="2024-09-07T00:00:00"/>
    <x v="1"/>
    <x v="0"/>
    <x v="0"/>
    <x v="0"/>
    <x v="0"/>
    <x v="0"/>
    <n v="20"/>
    <n v="20"/>
    <x v="8"/>
  </r>
  <r>
    <n v="3426"/>
    <s v="Helena Ribeiro"/>
    <x v="2"/>
    <d v="2024-09-08T00:00:00"/>
    <x v="0"/>
    <x v="2"/>
    <x v="2"/>
    <x v="1"/>
    <x v="1"/>
    <x v="0"/>
    <n v="20"/>
    <n v="15"/>
    <x v="7"/>
  </r>
  <r>
    <n v="3427"/>
    <s v="Igor Mendes"/>
    <x v="1"/>
    <d v="2024-09-09T00:00:00"/>
    <x v="1"/>
    <x v="1"/>
    <x v="0"/>
    <x v="1"/>
    <x v="1"/>
    <x v="1"/>
    <n v="0"/>
    <n v="1"/>
    <x v="4"/>
  </r>
  <r>
    <n v="3428"/>
    <s v="Joana Silveira"/>
    <x v="0"/>
    <d v="2024-09-10T00:00:00"/>
    <x v="0"/>
    <x v="0"/>
    <x v="1"/>
    <x v="0"/>
    <x v="0"/>
    <x v="0"/>
    <n v="20"/>
    <n v="3"/>
    <x v="3"/>
  </r>
  <r>
    <n v="3429"/>
    <s v="Lucas Martins"/>
    <x v="2"/>
    <d v="2024-09-11T00:00:00"/>
    <x v="1"/>
    <x v="2"/>
    <x v="0"/>
    <x v="1"/>
    <x v="1"/>
    <x v="0"/>
    <n v="20"/>
    <n v="10"/>
    <x v="2"/>
  </r>
  <r>
    <n v="3430"/>
    <s v="Marcela Gouveia"/>
    <x v="1"/>
    <d v="2024-09-12T00:00:00"/>
    <x v="0"/>
    <x v="1"/>
    <x v="2"/>
    <x v="1"/>
    <x v="1"/>
    <x v="1"/>
    <n v="0"/>
    <n v="0"/>
    <x v="1"/>
  </r>
  <r>
    <n v="3431"/>
    <s v="Nicolas Borges"/>
    <x v="0"/>
    <d v="2024-09-13T00:00:00"/>
    <x v="1"/>
    <x v="0"/>
    <x v="0"/>
    <x v="0"/>
    <x v="0"/>
    <x v="0"/>
    <n v="20"/>
    <n v="15"/>
    <x v="14"/>
  </r>
  <r>
    <n v="3432"/>
    <s v="Olivia Freitas"/>
    <x v="2"/>
    <d v="2024-09-14T00:00:00"/>
    <x v="0"/>
    <x v="2"/>
    <x v="1"/>
    <x v="1"/>
    <x v="1"/>
    <x v="0"/>
    <n v="20"/>
    <n v="15"/>
    <x v="7"/>
  </r>
  <r>
    <n v="3433"/>
    <s v="Paulo Nogueira"/>
    <x v="1"/>
    <d v="2024-09-15T00:00:00"/>
    <x v="1"/>
    <x v="1"/>
    <x v="0"/>
    <x v="1"/>
    <x v="1"/>
    <x v="1"/>
    <n v="0"/>
    <n v="1"/>
    <x v="4"/>
  </r>
  <r>
    <n v="3434"/>
    <s v="Raquel Andrade"/>
    <x v="0"/>
    <d v="2024-09-16T00:00:00"/>
    <x v="0"/>
    <x v="0"/>
    <x v="2"/>
    <x v="0"/>
    <x v="0"/>
    <x v="0"/>
    <n v="20"/>
    <n v="7"/>
    <x v="12"/>
  </r>
  <r>
    <n v="3435"/>
    <s v="Sônia Carvalho"/>
    <x v="2"/>
    <d v="2024-09-17T00:00:00"/>
    <x v="1"/>
    <x v="2"/>
    <x v="0"/>
    <x v="1"/>
    <x v="1"/>
    <x v="0"/>
    <n v="20"/>
    <n v="10"/>
    <x v="2"/>
  </r>
  <r>
    <n v="3436"/>
    <s v="Tiago Rodrigues"/>
    <x v="1"/>
    <d v="2024-09-18T00:00:00"/>
    <x v="0"/>
    <x v="1"/>
    <x v="0"/>
    <x v="1"/>
    <x v="1"/>
    <x v="1"/>
    <n v="0"/>
    <n v="0"/>
    <x v="1"/>
  </r>
  <r>
    <n v="3437"/>
    <s v="Ursula Monteiro"/>
    <x v="0"/>
    <d v="2024-09-19T00:00:00"/>
    <x v="1"/>
    <x v="0"/>
    <x v="2"/>
    <x v="0"/>
    <x v="0"/>
    <x v="0"/>
    <n v="20"/>
    <n v="7"/>
    <x v="12"/>
  </r>
  <r>
    <n v="3438"/>
    <s v="Vanessa Pereira"/>
    <x v="2"/>
    <d v="2024-09-20T00:00:00"/>
    <x v="0"/>
    <x v="2"/>
    <x v="1"/>
    <x v="1"/>
    <x v="1"/>
    <x v="0"/>
    <n v="20"/>
    <n v="10"/>
    <x v="2"/>
  </r>
  <r>
    <n v="3439"/>
    <s v="Walter Silva"/>
    <x v="1"/>
    <d v="2024-09-21T00:00:00"/>
    <x v="1"/>
    <x v="1"/>
    <x v="2"/>
    <x v="1"/>
    <x v="1"/>
    <x v="1"/>
    <n v="0"/>
    <n v="1"/>
    <x v="4"/>
  </r>
  <r>
    <n v="3440"/>
    <s v="Xavier Almeida"/>
    <x v="0"/>
    <d v="2024-09-22T00:00:00"/>
    <x v="0"/>
    <x v="0"/>
    <x v="0"/>
    <x v="0"/>
    <x v="0"/>
    <x v="0"/>
    <n v="20"/>
    <n v="15"/>
    <x v="14"/>
  </r>
  <r>
    <n v="3441"/>
    <s v="Yasmine Correia"/>
    <x v="2"/>
    <d v="2024-09-23T00:00:00"/>
    <x v="1"/>
    <x v="2"/>
    <x v="0"/>
    <x v="1"/>
    <x v="1"/>
    <x v="0"/>
    <n v="20"/>
    <n v="5"/>
    <x v="13"/>
  </r>
  <r>
    <n v="3442"/>
    <s v="Zacarias Almeida"/>
    <x v="1"/>
    <d v="2024-09-24T00:00:00"/>
    <x v="0"/>
    <x v="1"/>
    <x v="1"/>
    <x v="1"/>
    <x v="1"/>
    <x v="1"/>
    <n v="0"/>
    <n v="0"/>
    <x v="1"/>
  </r>
  <r>
    <n v="3443"/>
    <s v="Amanda Costa"/>
    <x v="0"/>
    <d v="2024-09-25T00:00:00"/>
    <x v="1"/>
    <x v="0"/>
    <x v="2"/>
    <x v="0"/>
    <x v="0"/>
    <x v="0"/>
    <n v="20"/>
    <n v="20"/>
    <x v="8"/>
  </r>
  <r>
    <n v="3444"/>
    <s v="Bruno Ferreira"/>
    <x v="2"/>
    <d v="2024-09-26T00:00:00"/>
    <x v="0"/>
    <x v="2"/>
    <x v="2"/>
    <x v="1"/>
    <x v="1"/>
    <x v="0"/>
    <n v="20"/>
    <n v="12"/>
    <x v="10"/>
  </r>
  <r>
    <n v="3445"/>
    <s v="Carla Dias"/>
    <x v="1"/>
    <d v="2024-09-27T00:00:00"/>
    <x v="1"/>
    <x v="1"/>
    <x v="0"/>
    <x v="1"/>
    <x v="1"/>
    <x v="1"/>
    <n v="0"/>
    <n v="2"/>
    <x v="11"/>
  </r>
  <r>
    <n v="3446"/>
    <s v="Diogo Martins"/>
    <x v="0"/>
    <d v="2024-09-28T00:00:00"/>
    <x v="0"/>
    <x v="0"/>
    <x v="1"/>
    <x v="0"/>
    <x v="0"/>
    <x v="0"/>
    <n v="20"/>
    <n v="5"/>
    <x v="0"/>
  </r>
  <r>
    <n v="3447"/>
    <s v="Elisa Campos"/>
    <x v="2"/>
    <d v="2024-09-29T00:00:00"/>
    <x v="1"/>
    <x v="2"/>
    <x v="0"/>
    <x v="1"/>
    <x v="1"/>
    <x v="0"/>
    <n v="20"/>
    <n v="10"/>
    <x v="2"/>
  </r>
  <r>
    <n v="3448"/>
    <s v="Fabiana Lima"/>
    <x v="1"/>
    <d v="2024-09-30T00:00:00"/>
    <x v="0"/>
    <x v="1"/>
    <x v="2"/>
    <x v="1"/>
    <x v="1"/>
    <x v="1"/>
    <n v="0"/>
    <n v="0"/>
    <x v="1"/>
  </r>
  <r>
    <n v="3449"/>
    <s v="Gabriel Santos"/>
    <x v="0"/>
    <d v="2024-10-01T00:00:00"/>
    <x v="1"/>
    <x v="0"/>
    <x v="0"/>
    <x v="0"/>
    <x v="0"/>
    <x v="0"/>
    <n v="20"/>
    <n v="3"/>
    <x v="3"/>
  </r>
  <r>
    <n v="3450"/>
    <s v="Helena Ferreira"/>
    <x v="2"/>
    <d v="2024-10-02T00:00:00"/>
    <x v="0"/>
    <x v="2"/>
    <x v="1"/>
    <x v="1"/>
    <x v="1"/>
    <x v="0"/>
    <n v="20"/>
    <n v="15"/>
    <x v="7"/>
  </r>
  <r>
    <n v="3451"/>
    <s v="Ígor Nunes"/>
    <x v="1"/>
    <d v="2024-10-03T00:00:00"/>
    <x v="1"/>
    <x v="1"/>
    <x v="0"/>
    <x v="1"/>
    <x v="1"/>
    <x v="1"/>
    <n v="0"/>
    <n v="1"/>
    <x v="4"/>
  </r>
  <r>
    <n v="3452"/>
    <s v="Joana Silveira"/>
    <x v="0"/>
    <d v="2024-10-04T00:00:00"/>
    <x v="0"/>
    <x v="0"/>
    <x v="2"/>
    <x v="0"/>
    <x v="0"/>
    <x v="0"/>
    <n v="20"/>
    <n v="7"/>
    <x v="12"/>
  </r>
  <r>
    <n v="3453"/>
    <s v="Kléber Oliveira"/>
    <x v="2"/>
    <d v="2024-10-05T00:00:00"/>
    <x v="1"/>
    <x v="2"/>
    <x v="0"/>
    <x v="1"/>
    <x v="1"/>
    <x v="0"/>
    <n v="20"/>
    <n v="10"/>
    <x v="2"/>
  </r>
  <r>
    <n v="3454"/>
    <s v="Luciana Morais"/>
    <x v="1"/>
    <d v="2024-10-06T00:00:00"/>
    <x v="0"/>
    <x v="1"/>
    <x v="1"/>
    <x v="1"/>
    <x v="1"/>
    <x v="1"/>
    <n v="0"/>
    <n v="0"/>
    <x v="1"/>
  </r>
  <r>
    <n v="3455"/>
    <s v="Marcos Vinícius"/>
    <x v="0"/>
    <d v="2024-10-07T00:00:00"/>
    <x v="1"/>
    <x v="0"/>
    <x v="0"/>
    <x v="0"/>
    <x v="0"/>
    <x v="0"/>
    <n v="20"/>
    <n v="20"/>
    <x v="8"/>
  </r>
  <r>
    <n v="3456"/>
    <s v="Natália Barros"/>
    <x v="2"/>
    <d v="2024-10-08T00:00:00"/>
    <x v="0"/>
    <x v="2"/>
    <x v="2"/>
    <x v="1"/>
    <x v="1"/>
    <x v="0"/>
    <n v="20"/>
    <n v="15"/>
    <x v="7"/>
  </r>
  <r>
    <n v="3457"/>
    <s v="Oscar Sampaio"/>
    <x v="1"/>
    <d v="2024-10-09T00:00:00"/>
    <x v="1"/>
    <x v="1"/>
    <x v="0"/>
    <x v="1"/>
    <x v="1"/>
    <x v="1"/>
    <n v="0"/>
    <n v="1"/>
    <x v="4"/>
  </r>
  <r>
    <n v="3458"/>
    <s v="Patrícia Leite"/>
    <x v="0"/>
    <d v="2024-10-10T00:00:00"/>
    <x v="0"/>
    <x v="0"/>
    <x v="1"/>
    <x v="0"/>
    <x v="0"/>
    <x v="0"/>
    <n v="20"/>
    <n v="3"/>
    <x v="3"/>
  </r>
  <r>
    <n v="3459"/>
    <s v="Quênia Rocha"/>
    <x v="2"/>
    <d v="2024-10-11T00:00:00"/>
    <x v="1"/>
    <x v="2"/>
    <x v="0"/>
    <x v="1"/>
    <x v="1"/>
    <x v="0"/>
    <n v="20"/>
    <n v="10"/>
    <x v="2"/>
  </r>
  <r>
    <n v="3460"/>
    <s v="Rafael Torres"/>
    <x v="1"/>
    <d v="2024-10-12T00:00:00"/>
    <x v="0"/>
    <x v="1"/>
    <x v="2"/>
    <x v="1"/>
    <x v="1"/>
    <x v="1"/>
    <n v="0"/>
    <n v="0"/>
    <x v="1"/>
  </r>
  <r>
    <n v="3461"/>
    <s v="Sandra Gouveia"/>
    <x v="0"/>
    <d v="2024-10-13T00:00:00"/>
    <x v="1"/>
    <x v="0"/>
    <x v="0"/>
    <x v="0"/>
    <x v="0"/>
    <x v="0"/>
    <n v="20"/>
    <n v="15"/>
    <x v="14"/>
  </r>
  <r>
    <n v="3462"/>
    <s v="Tiago Lacerda"/>
    <x v="2"/>
    <d v="2024-10-14T00:00:00"/>
    <x v="0"/>
    <x v="2"/>
    <x v="1"/>
    <x v="1"/>
    <x v="1"/>
    <x v="0"/>
    <n v="20"/>
    <n v="15"/>
    <x v="7"/>
  </r>
  <r>
    <n v="3463"/>
    <s v="Ursula Fonseca"/>
    <x v="1"/>
    <d v="2024-10-15T00:00:00"/>
    <x v="1"/>
    <x v="1"/>
    <x v="0"/>
    <x v="1"/>
    <x v="1"/>
    <x v="1"/>
    <n v="0"/>
    <n v="1"/>
    <x v="4"/>
  </r>
  <r>
    <n v="3464"/>
    <s v="Vanessa Andrade"/>
    <x v="0"/>
    <d v="2024-10-16T00:00:00"/>
    <x v="0"/>
    <x v="0"/>
    <x v="2"/>
    <x v="0"/>
    <x v="0"/>
    <x v="0"/>
    <n v="20"/>
    <n v="7"/>
    <x v="12"/>
  </r>
  <r>
    <n v="3465"/>
    <s v="William Castro"/>
    <x v="2"/>
    <d v="2024-10-17T00:00:00"/>
    <x v="1"/>
    <x v="2"/>
    <x v="0"/>
    <x v="1"/>
    <x v="1"/>
    <x v="0"/>
    <n v="20"/>
    <n v="10"/>
    <x v="2"/>
  </r>
  <r>
    <n v="3466"/>
    <s v="Xavier Monteiro"/>
    <x v="1"/>
    <d v="2024-10-18T00:00:00"/>
    <x v="0"/>
    <x v="1"/>
    <x v="1"/>
    <x v="1"/>
    <x v="1"/>
    <x v="1"/>
    <n v="0"/>
    <n v="0"/>
    <x v="1"/>
  </r>
  <r>
    <n v="3467"/>
    <s v="Yasmin Figueira"/>
    <x v="0"/>
    <d v="2024-10-19T00:00:00"/>
    <x v="1"/>
    <x v="0"/>
    <x v="0"/>
    <x v="0"/>
    <x v="0"/>
    <x v="0"/>
    <n v="20"/>
    <n v="15"/>
    <x v="14"/>
  </r>
  <r>
    <n v="3468"/>
    <s v="Zacarias Mendonça"/>
    <x v="2"/>
    <d v="2024-10-20T00:00:00"/>
    <x v="0"/>
    <x v="2"/>
    <x v="2"/>
    <x v="1"/>
    <x v="1"/>
    <x v="0"/>
    <n v="20"/>
    <n v="12"/>
    <x v="10"/>
  </r>
  <r>
    <n v="3469"/>
    <s v="Amanda Menezes"/>
    <x v="1"/>
    <d v="2024-10-21T00:00:00"/>
    <x v="1"/>
    <x v="1"/>
    <x v="0"/>
    <x v="1"/>
    <x v="1"/>
    <x v="1"/>
    <n v="0"/>
    <n v="2"/>
    <x v="11"/>
  </r>
  <r>
    <n v="3470"/>
    <s v="Bruno Santos"/>
    <x v="0"/>
    <d v="2024-10-22T00:00:00"/>
    <x v="0"/>
    <x v="0"/>
    <x v="1"/>
    <x v="0"/>
    <x v="0"/>
    <x v="0"/>
    <n v="20"/>
    <n v="5"/>
    <x v="0"/>
  </r>
  <r>
    <n v="3471"/>
    <s v="Carla Ferreira"/>
    <x v="2"/>
    <d v="2024-10-23T00:00:00"/>
    <x v="1"/>
    <x v="2"/>
    <x v="0"/>
    <x v="1"/>
    <x v="1"/>
    <x v="0"/>
    <n v="20"/>
    <n v="10"/>
    <x v="2"/>
  </r>
  <r>
    <n v="3472"/>
    <s v="Diogo Alves"/>
    <x v="1"/>
    <d v="2024-10-24T00:00:00"/>
    <x v="0"/>
    <x v="1"/>
    <x v="2"/>
    <x v="1"/>
    <x v="1"/>
    <x v="1"/>
    <n v="0"/>
    <n v="0"/>
    <x v="1"/>
  </r>
  <r>
    <n v="3473"/>
    <s v="Elisa Neves"/>
    <x v="0"/>
    <d v="2024-10-25T00:00:00"/>
    <x v="1"/>
    <x v="0"/>
    <x v="0"/>
    <x v="0"/>
    <x v="0"/>
    <x v="0"/>
    <n v="20"/>
    <n v="3"/>
    <x v="3"/>
  </r>
  <r>
    <n v="3474"/>
    <s v="Fabiano Pires"/>
    <x v="2"/>
    <d v="2024-10-26T00:00:00"/>
    <x v="0"/>
    <x v="2"/>
    <x v="1"/>
    <x v="1"/>
    <x v="1"/>
    <x v="0"/>
    <n v="20"/>
    <n v="15"/>
    <x v="7"/>
  </r>
  <r>
    <n v="3475"/>
    <s v="Giovana Ribeiro"/>
    <x v="1"/>
    <d v="2024-10-27T00:00:00"/>
    <x v="1"/>
    <x v="1"/>
    <x v="0"/>
    <x v="1"/>
    <x v="1"/>
    <x v="1"/>
    <n v="0"/>
    <n v="1"/>
    <x v="4"/>
  </r>
  <r>
    <n v="3476"/>
    <s v="Hélio Costa"/>
    <x v="0"/>
    <d v="2024-10-28T00:00:00"/>
    <x v="0"/>
    <x v="0"/>
    <x v="2"/>
    <x v="0"/>
    <x v="0"/>
    <x v="0"/>
    <n v="20"/>
    <n v="7"/>
    <x v="12"/>
  </r>
  <r>
    <n v="3477"/>
    <s v="Íris Loureiro"/>
    <x v="2"/>
    <d v="2024-10-29T00:00:00"/>
    <x v="1"/>
    <x v="2"/>
    <x v="0"/>
    <x v="1"/>
    <x v="1"/>
    <x v="0"/>
    <n v="20"/>
    <n v="10"/>
    <x v="2"/>
  </r>
  <r>
    <n v="3478"/>
    <s v="João Pereira"/>
    <x v="1"/>
    <d v="2024-10-30T00:00:00"/>
    <x v="0"/>
    <x v="1"/>
    <x v="1"/>
    <x v="1"/>
    <x v="1"/>
    <x v="1"/>
    <n v="0"/>
    <n v="0"/>
    <x v="1"/>
  </r>
  <r>
    <n v="3479"/>
    <s v="Klara Silva"/>
    <x v="0"/>
    <d v="2024-10-31T00:00:00"/>
    <x v="1"/>
    <x v="0"/>
    <x v="0"/>
    <x v="0"/>
    <x v="0"/>
    <x v="0"/>
    <n v="20"/>
    <n v="20"/>
    <x v="8"/>
  </r>
  <r>
    <n v="3480"/>
    <s v="Luciana Barros"/>
    <x v="2"/>
    <d v="2024-11-01T00:00:00"/>
    <x v="0"/>
    <x v="2"/>
    <x v="2"/>
    <x v="1"/>
    <x v="1"/>
    <x v="0"/>
    <n v="20"/>
    <n v="15"/>
    <x v="7"/>
  </r>
  <r>
    <n v="3481"/>
    <s v="Marcos Gomes"/>
    <x v="1"/>
    <d v="2024-11-02T00:00:00"/>
    <x v="1"/>
    <x v="1"/>
    <x v="0"/>
    <x v="1"/>
    <x v="1"/>
    <x v="1"/>
    <n v="0"/>
    <n v="1"/>
    <x v="4"/>
  </r>
  <r>
    <n v="3482"/>
    <s v="Natália Soares"/>
    <x v="0"/>
    <d v="2024-11-03T00:00:00"/>
    <x v="0"/>
    <x v="0"/>
    <x v="1"/>
    <x v="0"/>
    <x v="0"/>
    <x v="0"/>
    <n v="20"/>
    <n v="3"/>
    <x v="3"/>
  </r>
  <r>
    <n v="3483"/>
    <s v="Oscar Machado"/>
    <x v="2"/>
    <d v="2024-11-04T00:00:00"/>
    <x v="1"/>
    <x v="2"/>
    <x v="0"/>
    <x v="1"/>
    <x v="1"/>
    <x v="0"/>
    <n v="20"/>
    <n v="10"/>
    <x v="2"/>
  </r>
  <r>
    <n v="3484"/>
    <s v="Patrícia Lima"/>
    <x v="1"/>
    <d v="2024-11-05T00:00:00"/>
    <x v="0"/>
    <x v="1"/>
    <x v="2"/>
    <x v="1"/>
    <x v="1"/>
    <x v="1"/>
    <n v="0"/>
    <n v="0"/>
    <x v="1"/>
  </r>
  <r>
    <n v="3485"/>
    <s v="Quirino Neto"/>
    <x v="0"/>
    <d v="2024-11-06T00:00:00"/>
    <x v="1"/>
    <x v="0"/>
    <x v="0"/>
    <x v="0"/>
    <x v="0"/>
    <x v="0"/>
    <n v="20"/>
    <n v="15"/>
    <x v="14"/>
  </r>
  <r>
    <n v="3486"/>
    <s v="Rafaela Souza"/>
    <x v="1"/>
    <d v="2024-11-07T00:00:00"/>
    <x v="0"/>
    <x v="1"/>
    <x v="0"/>
    <x v="1"/>
    <x v="1"/>
    <x v="1"/>
    <n v="0"/>
    <n v="0"/>
    <x v="1"/>
  </r>
  <r>
    <n v="3487"/>
    <s v="Sandro Almeida"/>
    <x v="0"/>
    <d v="2024-11-08T00:00:00"/>
    <x v="1"/>
    <x v="0"/>
    <x v="2"/>
    <x v="0"/>
    <x v="0"/>
    <x v="0"/>
    <n v="20"/>
    <n v="7"/>
    <x v="12"/>
  </r>
  <r>
    <n v="3488"/>
    <s v="Tânia Ribeiro"/>
    <x v="2"/>
    <d v="2024-11-09T00:00:00"/>
    <x v="0"/>
    <x v="2"/>
    <x v="1"/>
    <x v="1"/>
    <x v="1"/>
    <x v="0"/>
    <n v="20"/>
    <n v="10"/>
    <x v="2"/>
  </r>
  <r>
    <n v="3489"/>
    <s v="Ugo Dias"/>
    <x v="1"/>
    <d v="2024-11-10T00:00:00"/>
    <x v="1"/>
    <x v="1"/>
    <x v="2"/>
    <x v="1"/>
    <x v="1"/>
    <x v="1"/>
    <n v="0"/>
    <n v="1"/>
    <x v="4"/>
  </r>
  <r>
    <n v="3490"/>
    <s v="Valéria Lima"/>
    <x v="0"/>
    <d v="2024-11-11T00:00:00"/>
    <x v="0"/>
    <x v="0"/>
    <x v="0"/>
    <x v="0"/>
    <x v="0"/>
    <x v="0"/>
    <n v="20"/>
    <n v="15"/>
    <x v="14"/>
  </r>
  <r>
    <n v="3491"/>
    <s v="William Fernandes"/>
    <x v="2"/>
    <d v="2024-11-12T00:00:00"/>
    <x v="1"/>
    <x v="2"/>
    <x v="0"/>
    <x v="1"/>
    <x v="1"/>
    <x v="0"/>
    <n v="20"/>
    <n v="5"/>
    <x v="13"/>
  </r>
  <r>
    <n v="3492"/>
    <s v="Xuxa Mendes"/>
    <x v="1"/>
    <d v="2024-11-13T00:00:00"/>
    <x v="0"/>
    <x v="1"/>
    <x v="1"/>
    <x v="1"/>
    <x v="1"/>
    <x v="1"/>
    <n v="0"/>
    <n v="0"/>
    <x v="1"/>
  </r>
  <r>
    <n v="3493"/>
    <s v="Ygor Farias"/>
    <x v="0"/>
    <d v="2024-11-14T00:00:00"/>
    <x v="1"/>
    <x v="0"/>
    <x v="2"/>
    <x v="0"/>
    <x v="0"/>
    <x v="0"/>
    <n v="20"/>
    <n v="20"/>
    <x v="8"/>
  </r>
  <r>
    <n v="3494"/>
    <s v="Zilda Barros"/>
    <x v="2"/>
    <d v="2024-11-15T00:00:00"/>
    <x v="0"/>
    <x v="2"/>
    <x v="2"/>
    <x v="1"/>
    <x v="1"/>
    <x v="0"/>
    <n v="20"/>
    <n v="12"/>
    <x v="10"/>
  </r>
  <r>
    <n v="3495"/>
    <s v="Amanda Santos"/>
    <x v="1"/>
    <d v="2024-11-16T00:00:00"/>
    <x v="1"/>
    <x v="1"/>
    <x v="0"/>
    <x v="1"/>
    <x v="1"/>
    <x v="1"/>
    <n v="0"/>
    <n v="2"/>
    <x v="11"/>
  </r>
  <r>
    <n v="3496"/>
    <s v="Bruno Costa"/>
    <x v="0"/>
    <d v="2024-11-17T00:00:00"/>
    <x v="0"/>
    <x v="0"/>
    <x v="1"/>
    <x v="0"/>
    <x v="0"/>
    <x v="0"/>
    <n v="20"/>
    <n v="5"/>
    <x v="0"/>
  </r>
  <r>
    <n v="3497"/>
    <s v="Carla Rodrigues"/>
    <x v="2"/>
    <d v="2024-11-18T00:00:00"/>
    <x v="1"/>
    <x v="2"/>
    <x v="0"/>
    <x v="1"/>
    <x v="1"/>
    <x v="0"/>
    <n v="20"/>
    <n v="10"/>
    <x v="2"/>
  </r>
  <r>
    <n v="3498"/>
    <s v="Diogo Pereira"/>
    <x v="1"/>
    <d v="2024-11-19T00:00:00"/>
    <x v="0"/>
    <x v="1"/>
    <x v="2"/>
    <x v="1"/>
    <x v="1"/>
    <x v="1"/>
    <n v="0"/>
    <n v="0"/>
    <x v="1"/>
  </r>
  <r>
    <n v="3499"/>
    <s v="Elisa Correia"/>
    <x v="0"/>
    <d v="2024-11-20T00:00:00"/>
    <x v="1"/>
    <x v="0"/>
    <x v="0"/>
    <x v="0"/>
    <x v="0"/>
    <x v="0"/>
    <n v="20"/>
    <n v="3"/>
    <x v="3"/>
  </r>
  <r>
    <n v="3500"/>
    <s v="Fábio Lourenço"/>
    <x v="2"/>
    <d v="2024-11-21T00:00:00"/>
    <x v="0"/>
    <x v="2"/>
    <x v="1"/>
    <x v="1"/>
    <x v="1"/>
    <x v="0"/>
    <n v="20"/>
    <n v="15"/>
    <x v="7"/>
  </r>
  <r>
    <n v="3501"/>
    <s v="Gabriela Neves"/>
    <x v="1"/>
    <d v="2024-11-22T00:00:00"/>
    <x v="1"/>
    <x v="1"/>
    <x v="0"/>
    <x v="1"/>
    <x v="1"/>
    <x v="1"/>
    <n v="0"/>
    <n v="1"/>
    <x v="4"/>
  </r>
  <r>
    <n v="3502"/>
    <s v="Henrique Gonçalves"/>
    <x v="0"/>
    <d v="2024-11-23T00:00:00"/>
    <x v="0"/>
    <x v="0"/>
    <x v="2"/>
    <x v="0"/>
    <x v="0"/>
    <x v="0"/>
    <n v="20"/>
    <n v="7"/>
    <x v="12"/>
  </r>
  <r>
    <n v="3503"/>
    <s v="Íris Santos"/>
    <x v="2"/>
    <d v="2024-11-24T00:00:00"/>
    <x v="1"/>
    <x v="2"/>
    <x v="0"/>
    <x v="1"/>
    <x v="1"/>
    <x v="0"/>
    <n v="20"/>
    <n v="10"/>
    <x v="2"/>
  </r>
  <r>
    <n v="3504"/>
    <s v="João Marcelo Alves"/>
    <x v="1"/>
    <d v="2024-11-25T00:00:00"/>
    <x v="0"/>
    <x v="1"/>
    <x v="1"/>
    <x v="1"/>
    <x v="1"/>
    <x v="1"/>
    <n v="0"/>
    <n v="0"/>
    <x v="1"/>
  </r>
  <r>
    <n v="3505"/>
    <s v="Klara Fonseca"/>
    <x v="0"/>
    <d v="2024-11-26T00:00:00"/>
    <x v="1"/>
    <x v="0"/>
    <x v="0"/>
    <x v="0"/>
    <x v="0"/>
    <x v="0"/>
    <n v="20"/>
    <n v="20"/>
    <x v="8"/>
  </r>
  <r>
    <n v="3506"/>
    <s v="Lucas Mendonça"/>
    <x v="2"/>
    <d v="2024-11-27T00:00:00"/>
    <x v="0"/>
    <x v="2"/>
    <x v="2"/>
    <x v="1"/>
    <x v="1"/>
    <x v="0"/>
    <n v="20"/>
    <n v="15"/>
    <x v="7"/>
  </r>
  <r>
    <n v="3507"/>
    <s v="Marcela Torres"/>
    <x v="1"/>
    <d v="2024-11-28T00:00:00"/>
    <x v="1"/>
    <x v="1"/>
    <x v="0"/>
    <x v="1"/>
    <x v="1"/>
    <x v="1"/>
    <n v="0"/>
    <n v="1"/>
    <x v="4"/>
  </r>
  <r>
    <n v="3508"/>
    <s v="Natália Castro"/>
    <x v="0"/>
    <d v="2024-11-29T00:00:00"/>
    <x v="0"/>
    <x v="0"/>
    <x v="1"/>
    <x v="0"/>
    <x v="0"/>
    <x v="0"/>
    <n v="20"/>
    <n v="3"/>
    <x v="3"/>
  </r>
  <r>
    <n v="3509"/>
    <s v="Oscar Martins"/>
    <x v="2"/>
    <d v="2024-11-30T00:00:00"/>
    <x v="1"/>
    <x v="2"/>
    <x v="0"/>
    <x v="1"/>
    <x v="1"/>
    <x v="0"/>
    <n v="20"/>
    <n v="10"/>
    <x v="2"/>
  </r>
  <r>
    <n v="3510"/>
    <s v="Patrícia Oliveira"/>
    <x v="1"/>
    <d v="2024-12-01T00:00:00"/>
    <x v="0"/>
    <x v="1"/>
    <x v="2"/>
    <x v="1"/>
    <x v="1"/>
    <x v="1"/>
    <n v="0"/>
    <n v="0"/>
    <x v="1"/>
  </r>
  <r>
    <n v="3511"/>
    <s v="Quentin Nogueira"/>
    <x v="0"/>
    <d v="2024-12-02T00:00:00"/>
    <x v="1"/>
    <x v="0"/>
    <x v="0"/>
    <x v="0"/>
    <x v="0"/>
    <x v="0"/>
    <n v="20"/>
    <n v="15"/>
    <x v="14"/>
  </r>
  <r>
    <n v="3512"/>
    <s v="Raquel Silva"/>
    <x v="2"/>
    <d v="2024-12-03T00:00:00"/>
    <x v="0"/>
    <x v="2"/>
    <x v="1"/>
    <x v="1"/>
    <x v="1"/>
    <x v="0"/>
    <n v="20"/>
    <n v="15"/>
    <x v="7"/>
  </r>
  <r>
    <n v="3513"/>
    <s v="Sandro Gomes"/>
    <x v="1"/>
    <d v="2024-12-04T00:00:00"/>
    <x v="1"/>
    <x v="1"/>
    <x v="0"/>
    <x v="1"/>
    <x v="1"/>
    <x v="1"/>
    <n v="0"/>
    <n v="1"/>
    <x v="4"/>
  </r>
  <r>
    <n v="3514"/>
    <s v="Tânia Machado"/>
    <x v="0"/>
    <d v="2024-12-05T00:00:00"/>
    <x v="0"/>
    <x v="0"/>
    <x v="2"/>
    <x v="0"/>
    <x v="0"/>
    <x v="0"/>
    <n v="20"/>
    <n v="7"/>
    <x v="12"/>
  </r>
  <r>
    <n v="3515"/>
    <s v="Ursula Silva"/>
    <x v="2"/>
    <d v="2024-12-06T00:00:00"/>
    <x v="1"/>
    <x v="2"/>
    <x v="0"/>
    <x v="1"/>
    <x v="1"/>
    <x v="0"/>
    <n v="20"/>
    <n v="10"/>
    <x v="2"/>
  </r>
  <r>
    <n v="3516"/>
    <s v="Vanessa Moraes"/>
    <x v="1"/>
    <d v="2024-12-07T00:00:00"/>
    <x v="0"/>
    <x v="1"/>
    <x v="1"/>
    <x v="1"/>
    <x v="1"/>
    <x v="1"/>
    <n v="0"/>
    <n v="0"/>
    <x v="1"/>
  </r>
  <r>
    <n v="3517"/>
    <s v="William Carvalho"/>
    <x v="0"/>
    <d v="2024-12-08T00:00:00"/>
    <x v="1"/>
    <x v="0"/>
    <x v="0"/>
    <x v="0"/>
    <x v="0"/>
    <x v="0"/>
    <n v="20"/>
    <n v="20"/>
    <x v="8"/>
  </r>
  <r>
    <n v="3518"/>
    <s v="Xavier Reis"/>
    <x v="2"/>
    <d v="2024-12-09T00:00:00"/>
    <x v="0"/>
    <x v="2"/>
    <x v="2"/>
    <x v="1"/>
    <x v="1"/>
    <x v="0"/>
    <n v="20"/>
    <n v="12"/>
    <x v="10"/>
  </r>
  <r>
    <n v="3519"/>
    <s v="Yasmin Rocha"/>
    <x v="1"/>
    <d v="2024-12-10T00:00:00"/>
    <x v="1"/>
    <x v="1"/>
    <x v="0"/>
    <x v="1"/>
    <x v="1"/>
    <x v="1"/>
    <n v="0"/>
    <n v="2"/>
    <x v="11"/>
  </r>
  <r>
    <n v="3520"/>
    <s v="Zacarias Duarte"/>
    <x v="0"/>
    <d v="2024-12-11T00:00:00"/>
    <x v="0"/>
    <x v="0"/>
    <x v="1"/>
    <x v="0"/>
    <x v="0"/>
    <x v="0"/>
    <n v="20"/>
    <n v="5"/>
    <x v="0"/>
  </r>
  <r>
    <n v="3521"/>
    <s v="Amanda Freitas"/>
    <x v="2"/>
    <d v="2024-12-12T00:00:00"/>
    <x v="1"/>
    <x v="2"/>
    <x v="0"/>
    <x v="1"/>
    <x v="1"/>
    <x v="0"/>
    <n v="20"/>
    <n v="10"/>
    <x v="2"/>
  </r>
  <r>
    <n v="3522"/>
    <s v="Bruno Almeida"/>
    <x v="1"/>
    <d v="2024-12-13T00:00:00"/>
    <x v="0"/>
    <x v="1"/>
    <x v="2"/>
    <x v="1"/>
    <x v="1"/>
    <x v="1"/>
    <n v="0"/>
    <n v="0"/>
    <x v="1"/>
  </r>
  <r>
    <n v="3523"/>
    <s v="Carla Siqueira"/>
    <x v="0"/>
    <d v="2024-12-14T00:00:00"/>
    <x v="1"/>
    <x v="0"/>
    <x v="0"/>
    <x v="0"/>
    <x v="0"/>
    <x v="0"/>
    <n v="20"/>
    <n v="3"/>
    <x v="3"/>
  </r>
  <r>
    <n v="3524"/>
    <s v="Diogo Ramos"/>
    <x v="2"/>
    <d v="2024-12-15T00:00:00"/>
    <x v="0"/>
    <x v="2"/>
    <x v="1"/>
    <x v="1"/>
    <x v="1"/>
    <x v="0"/>
    <n v="20"/>
    <n v="15"/>
    <x v="7"/>
  </r>
  <r>
    <n v="3525"/>
    <s v="Elisa Magalhães"/>
    <x v="1"/>
    <d v="2024-12-16T00:00:00"/>
    <x v="1"/>
    <x v="1"/>
    <x v="0"/>
    <x v="1"/>
    <x v="1"/>
    <x v="1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4">
    <format dxfId="27">
      <pivotArea collapsedLevelsAreSubtotals="1" fieldPosition="0">
        <references count="1">
          <reference field="2" count="1">
            <x v="2"/>
          </reference>
        </references>
      </pivotArea>
    </format>
    <format dxfId="26">
      <pivotArea grandRow="1" outline="0" collapsedLevelsAreSubtotals="1" fieldPosition="0"/>
    </format>
    <format dxfId="25">
      <pivotArea collapsedLevelsAreSubtotals="1" fieldPosition="0">
        <references count="1">
          <reference field="2" count="1">
            <x v="2"/>
          </reference>
        </references>
      </pivotArea>
    </format>
    <format dxfId="2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_season_pass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nual_total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10:C13" firstHeaderRow="1" firstDataRow="1" firstDataCol="1" rowPageCount="3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3">
    <pageField fld="9" item="1" hier="-1"/>
    <pageField fld="7" item="1" hier="-1"/>
    <pageField fld="6" item="0" hier="-1"/>
  </pageFields>
  <dataFields count="1">
    <dataField name="Soma de Total Value" fld="12" baseField="0" baseItem="0" numFmtId="164"/>
  </dataFields>
  <formats count="3"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dataOnly="0" labelOnly="1" outline="0" axis="axisValues" fieldPosition="0"/>
    </format>
  </formats>
  <chartFormats count="8"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_season_pass"/>
    <pivotTable tabId="3" name="Tabela dinâmica3"/>
  </pivotTables>
  <data>
    <tabular pivotCacheId="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3 2" rowHeight="241300"/>
</slicers>
</file>

<file path=xl/tables/table1.xml><?xml version="1.0" encoding="utf-8"?>
<table xmlns="http://schemas.openxmlformats.org/spreadsheetml/2006/main" id="1" name="Tabela1" displayName="Tabela1" ref="A1:M296" totalsRowShown="0" dataDxfId="43">
  <autoFilter ref="A1:M296"/>
  <tableColumns count="13">
    <tableColumn id="1" name="Subscriber ID" dataDxfId="42"/>
    <tableColumn id="2" name="Name" dataDxfId="41"/>
    <tableColumn id="3" name="Plan" dataDxfId="40"/>
    <tableColumn id="4" name="Start Date" dataDxfId="39"/>
    <tableColumn id="5" name="Auto Renewal" dataDxfId="38"/>
    <tableColumn id="6" name="Subscription Price" dataDxfId="37" dataCellStyle="Moeda"/>
    <tableColumn id="7" name="Subscription Type" dataDxfId="36"/>
    <tableColumn id="8" name="EA Play Season Pass" dataDxfId="35"/>
    <tableColumn id="13" name="EA Play Season Pass_x000a_Price" dataDxfId="34" dataCellStyle="Moeda"/>
    <tableColumn id="9" name="Minecraft Season Pass" dataDxfId="33"/>
    <tableColumn id="10" name="Minecraft Season Pass Price" dataDxfId="32" dataCellStyle="Moeda"/>
    <tableColumn id="11" name="Coupon Value" dataDxfId="31" dataCellStyle="Moeda"/>
    <tableColumn id="12" name="Total Value" dataDxfId="3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13" zoomScaleNormal="100" workbookViewId="0">
      <selection activeCell="B8" sqref="B8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C1" zoomScale="90" zoomScaleNormal="90" workbookViewId="0">
      <selection activeCell="N14" sqref="N1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2:I36"/>
  <sheetViews>
    <sheetView showGridLines="0" workbookViewId="0">
      <selection activeCell="F12" sqref="F12"/>
    </sheetView>
  </sheetViews>
  <sheetFormatPr defaultRowHeight="14.25"/>
  <cols>
    <col min="1" max="1" width="2.625" customWidth="1"/>
    <col min="2" max="2" width="18" customWidth="1"/>
    <col min="3" max="3" width="35.125" customWidth="1"/>
    <col min="4" max="4" width="7.125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2" spans="2:9" ht="15">
      <c r="B2" s="17" t="s">
        <v>313</v>
      </c>
      <c r="C2" s="17"/>
      <c r="D2" s="17"/>
      <c r="E2" s="17"/>
      <c r="F2" s="17"/>
      <c r="G2" s="17"/>
      <c r="H2" s="17"/>
      <c r="I2" s="17"/>
    </row>
    <row r="3" spans="2:9" ht="15">
      <c r="B3" s="17" t="s">
        <v>317</v>
      </c>
      <c r="C3" s="17"/>
      <c r="D3" s="17"/>
      <c r="E3" s="17"/>
      <c r="F3" s="17"/>
      <c r="G3" s="17"/>
      <c r="H3" s="17"/>
      <c r="I3" s="17"/>
    </row>
    <row r="6" spans="2:9">
      <c r="B6" s="12" t="s">
        <v>30</v>
      </c>
      <c r="C6" t="s">
        <v>19</v>
      </c>
    </row>
    <row r="7" spans="2:9">
      <c r="B7" s="12" t="s">
        <v>309</v>
      </c>
      <c r="C7" t="s">
        <v>19</v>
      </c>
    </row>
    <row r="8" spans="2:9" ht="15" customHeight="1">
      <c r="B8" s="12" t="s">
        <v>16</v>
      </c>
      <c r="C8" t="s">
        <v>24</v>
      </c>
    </row>
    <row r="9" spans="2:9" ht="18.75" customHeight="1"/>
    <row r="10" spans="2:9">
      <c r="B10" s="12" t="s">
        <v>314</v>
      </c>
      <c r="C10" s="21" t="s">
        <v>316</v>
      </c>
    </row>
    <row r="11" spans="2:9">
      <c r="B11" s="13" t="s">
        <v>23</v>
      </c>
      <c r="C11" s="21">
        <v>122</v>
      </c>
    </row>
    <row r="12" spans="2:9">
      <c r="B12" s="13" t="s">
        <v>19</v>
      </c>
      <c r="C12" s="21">
        <v>1064</v>
      </c>
    </row>
    <row r="13" spans="2:9">
      <c r="B13" s="13" t="s">
        <v>315</v>
      </c>
      <c r="C13" s="21">
        <v>1186</v>
      </c>
    </row>
    <row r="16" spans="2:9">
      <c r="B16" s="17" t="s">
        <v>319</v>
      </c>
      <c r="C16" s="17"/>
      <c r="D16" s="17"/>
      <c r="E16" s="17"/>
      <c r="F16" s="17"/>
      <c r="G16" s="17"/>
      <c r="H16" s="17"/>
      <c r="I16" s="17"/>
    </row>
    <row r="19" spans="2:9">
      <c r="B19" s="12" t="s">
        <v>16</v>
      </c>
      <c r="C19" t="s">
        <v>24</v>
      </c>
    </row>
    <row r="21" spans="2:9">
      <c r="B21" s="12" t="s">
        <v>314</v>
      </c>
      <c r="C21" t="s">
        <v>320</v>
      </c>
    </row>
    <row r="22" spans="2:9">
      <c r="B22" s="13" t="s">
        <v>22</v>
      </c>
      <c r="C22" s="14">
        <v>0</v>
      </c>
    </row>
    <row r="23" spans="2:9">
      <c r="B23" s="13" t="s">
        <v>26</v>
      </c>
      <c r="C23" s="14">
        <v>0</v>
      </c>
    </row>
    <row r="24" spans="2:9">
      <c r="B24" s="13" t="s">
        <v>18</v>
      </c>
      <c r="C24" s="14">
        <v>600</v>
      </c>
    </row>
    <row r="25" spans="2:9">
      <c r="B25" s="13" t="s">
        <v>315</v>
      </c>
      <c r="C25" s="14">
        <v>600</v>
      </c>
      <c r="F25" s="23">
        <f>GETPIVOTDATA("EA Play Season Pass
Price",$B$21)</f>
        <v>600</v>
      </c>
    </row>
    <row r="28" spans="2:9">
      <c r="B28" s="17" t="s">
        <v>321</v>
      </c>
      <c r="C28" s="17"/>
      <c r="D28" s="17"/>
      <c r="E28" s="17"/>
      <c r="F28" s="17"/>
      <c r="G28" s="17"/>
      <c r="H28" s="17"/>
      <c r="I28" s="17"/>
    </row>
    <row r="30" spans="2:9">
      <c r="B30" s="12" t="s">
        <v>16</v>
      </c>
      <c r="C30" t="s">
        <v>24</v>
      </c>
    </row>
    <row r="32" spans="2:9">
      <c r="B32" s="12" t="s">
        <v>314</v>
      </c>
      <c r="C32" t="s">
        <v>322</v>
      </c>
    </row>
    <row r="33" spans="2:6">
      <c r="B33" s="13" t="s">
        <v>22</v>
      </c>
      <c r="C33" s="14">
        <v>0</v>
      </c>
    </row>
    <row r="34" spans="2:6">
      <c r="B34" s="13" t="s">
        <v>26</v>
      </c>
      <c r="C34" s="14">
        <v>540</v>
      </c>
    </row>
    <row r="35" spans="2:6">
      <c r="B35" s="13" t="s">
        <v>18</v>
      </c>
      <c r="C35" s="22">
        <v>400</v>
      </c>
    </row>
    <row r="36" spans="2:6">
      <c r="B36" s="13" t="s">
        <v>315</v>
      </c>
      <c r="C36" s="22">
        <v>940</v>
      </c>
      <c r="F36" s="23">
        <f>GETPIVOTDATA("Minecraft Season Pass Price",$B$32)</f>
        <v>940</v>
      </c>
    </row>
  </sheetData>
  <mergeCells count="4">
    <mergeCell ref="B2:I2"/>
    <mergeCell ref="B3:I3"/>
    <mergeCell ref="B16:I16"/>
    <mergeCell ref="B28:I28"/>
  </mergeCell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showGridLines="0" showRowColHeaders="0" tabSelected="1" topLeftCell="A2" zoomScale="90" zoomScaleNormal="90" workbookViewId="0">
      <selection activeCell="F9" sqref="F9"/>
    </sheetView>
  </sheetViews>
  <sheetFormatPr defaultRowHeight="14.25"/>
  <cols>
    <col min="1" max="1" width="24.25" style="4" customWidth="1"/>
    <col min="2" max="2" width="2" style="20" customWidth="1"/>
    <col min="3" max="6" width="9" style="20"/>
    <col min="7" max="7" width="112.625" style="20" customWidth="1"/>
    <col min="8" max="11" width="9" style="20"/>
    <col min="12" max="12" width="6.625" style="20" customWidth="1"/>
    <col min="13" max="16384" width="9" style="20"/>
  </cols>
  <sheetData>
    <row r="1" spans="1:8" s="15" customFormat="1">
      <c r="A1" s="4"/>
    </row>
    <row r="2" spans="1:8" s="15" customFormat="1" ht="32.25" customHeight="1">
      <c r="A2" s="4"/>
    </row>
    <row r="3" spans="1:8" s="15" customFormat="1" ht="8.25" hidden="1" customHeight="1">
      <c r="A3" s="4"/>
    </row>
    <row r="4" spans="1:8" s="15" customFormat="1" ht="7.5" hidden="1" customHeight="1">
      <c r="A4" s="4"/>
    </row>
    <row r="5" spans="1:8" s="15" customFormat="1" ht="10.5" hidden="1" customHeight="1">
      <c r="A5" s="4"/>
    </row>
    <row r="6" spans="1:8" s="15" customFormat="1" ht="30.75" customHeight="1" thickBot="1">
      <c r="A6" s="4"/>
      <c r="C6" s="18" t="s">
        <v>318</v>
      </c>
      <c r="D6" s="19"/>
      <c r="E6" s="19"/>
      <c r="F6" s="19"/>
      <c r="G6" s="19"/>
      <c r="H6" s="16"/>
    </row>
    <row r="7" spans="1:8" s="15" customFormat="1" ht="19.5" customHeight="1" thickTop="1">
      <c r="A7" s="4"/>
      <c r="C7" s="16"/>
      <c r="D7" s="16"/>
      <c r="E7" s="16"/>
      <c r="F7" s="16"/>
      <c r="G7" s="16"/>
    </row>
    <row r="8" spans="1:8" ht="33" customHeight="1">
      <c r="C8" s="24" t="s">
        <v>323</v>
      </c>
    </row>
    <row r="10" spans="1:8" ht="6" customHeight="1"/>
    <row r="11" spans="1:8" ht="27" customHeight="1"/>
    <row r="18" ht="1.5" customHeight="1"/>
    <row r="19" hidden="1"/>
    <row r="20" hidden="1"/>
    <row r="21" hidden="1"/>
    <row r="22" ht="23.25" customHeight="1"/>
  </sheetData>
  <mergeCells count="1">
    <mergeCell ref="C6:G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19483571-f922-4e8e-9c1c-26f0a2252132"/>
    <ds:schemaRef ds:uri="http://www.w3.org/XML/1998/namespace"/>
    <ds:schemaRef ds:uri="http://schemas.microsoft.com/office/infopath/2007/PartnerControls"/>
    <ds:schemaRef ds:uri="851b35d3-0456-4d6a-bc2f-da927e91d15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Aluno</cp:lastModifiedBy>
  <dcterms:created xsi:type="dcterms:W3CDTF">2024-12-19T13:13:10Z</dcterms:created>
  <dcterms:modified xsi:type="dcterms:W3CDTF">2026-04-06T21:18:45Z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